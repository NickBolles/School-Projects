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holas\SkyDrive (2).old\Desktop\Laptop\School\School Programming Projects\Term Scheduler\"/>
    </mc:Choice>
  </mc:AlternateContent>
  <bookViews>
    <workbookView xWindow="0" yWindow="0" windowWidth="23040" windowHeight="9180" activeTab="2"/>
  </bookViews>
  <sheets>
    <sheet name="Setup" sheetId="10" r:id="rId1"/>
    <sheet name="Course List" sheetId="8" r:id="rId2"/>
    <sheet name="Semester View" sheetId="7" r:id="rId3"/>
    <sheet name="Notes" sheetId="4" r:id="rId4"/>
  </sheets>
  <functionGroups builtInGroupCount="18"/>
  <definedNames>
    <definedName name="FreshmanCredits">Setup!$G$15</definedName>
    <definedName name="FreshmanMax">Setup!#REF!</definedName>
    <definedName name="FreshmanMin">Setup!$G$15</definedName>
    <definedName name="JuniorCredits">Setup!$G$17</definedName>
    <definedName name="JuniorMin">Setup!$G$17</definedName>
    <definedName name="SeniorCredits">Setup!$G$18</definedName>
    <definedName name="SophomoreCredits">Setup!$G$16</definedName>
    <definedName name="SophomoreMax">Setup!#REF!</definedName>
    <definedName name="SophomoreMin">Setup!$G$16</definedName>
    <definedName name="StartingCredits">Setup!$F$10</definedName>
    <definedName name="THIS_CELL">!XEZ1048467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9" i="7" l="1"/>
  <c r="AD20" i="7"/>
  <c r="AD21" i="7"/>
  <c r="AD22" i="7"/>
  <c r="AD23" i="7"/>
  <c r="AD24" i="7"/>
  <c r="AD25" i="7"/>
  <c r="N51" i="7"/>
  <c r="M20" i="8" l="1"/>
  <c r="X49" i="7" l="1"/>
  <c r="AN10" i="7" l="1"/>
  <c r="AM10" i="7"/>
  <c r="AL10" i="7"/>
  <c r="AJ10" i="7"/>
  <c r="AI10" i="7"/>
  <c r="AH10" i="7"/>
  <c r="AN9" i="7"/>
  <c r="AM9" i="7"/>
  <c r="AL9" i="7"/>
  <c r="AJ9" i="7"/>
  <c r="AI9" i="7"/>
  <c r="AH9" i="7"/>
  <c r="AN8" i="7"/>
  <c r="AM8" i="7"/>
  <c r="AL8" i="7"/>
  <c r="AJ8" i="7"/>
  <c r="AI8" i="7"/>
  <c r="AH8" i="7"/>
  <c r="AN7" i="7"/>
  <c r="AM7" i="7"/>
  <c r="AL7" i="7"/>
  <c r="AJ7" i="7"/>
  <c r="AI7" i="7"/>
  <c r="AH7" i="7"/>
  <c r="AN6" i="7"/>
  <c r="AM6" i="7"/>
  <c r="AL6" i="7"/>
  <c r="AJ6" i="7"/>
  <c r="AI6" i="7"/>
  <c r="AH6" i="7"/>
  <c r="AN5" i="7"/>
  <c r="AM5" i="7"/>
  <c r="AL5" i="7"/>
  <c r="AJ5" i="7"/>
  <c r="AI5" i="7"/>
  <c r="AH5" i="7"/>
  <c r="AN4" i="7"/>
  <c r="AM4" i="7"/>
  <c r="AL4" i="7"/>
  <c r="AJ4" i="7"/>
  <c r="AI4" i="7"/>
  <c r="AH4" i="7"/>
  <c r="AJ11" i="7" l="1"/>
  <c r="AN11" i="7"/>
  <c r="R20" i="8"/>
  <c r="R19" i="8"/>
  <c r="D39" i="7"/>
  <c r="D52" i="7"/>
  <c r="X38" i="7"/>
  <c r="AN67" i="7"/>
  <c r="AM67" i="7"/>
  <c r="AL67" i="7"/>
  <c r="AJ67" i="7"/>
  <c r="AI67" i="7"/>
  <c r="AH67" i="7"/>
  <c r="AN66" i="7"/>
  <c r="AM66" i="7"/>
  <c r="AL66" i="7"/>
  <c r="AJ66" i="7"/>
  <c r="AI66" i="7"/>
  <c r="AH66" i="7"/>
  <c r="AN65" i="7"/>
  <c r="AM65" i="7"/>
  <c r="AL65" i="7"/>
  <c r="AJ65" i="7"/>
  <c r="AI65" i="7"/>
  <c r="AH65" i="7"/>
  <c r="AN64" i="7"/>
  <c r="AM64" i="7"/>
  <c r="AL64" i="7"/>
  <c r="AJ64" i="7"/>
  <c r="AI64" i="7"/>
  <c r="AH64" i="7"/>
  <c r="AN63" i="7"/>
  <c r="AM63" i="7"/>
  <c r="AL63" i="7"/>
  <c r="AJ63" i="7"/>
  <c r="AI63" i="7"/>
  <c r="AH63" i="7"/>
  <c r="AN62" i="7"/>
  <c r="AM62" i="7"/>
  <c r="AL62" i="7"/>
  <c r="AJ62" i="7"/>
  <c r="AI62" i="7"/>
  <c r="AH62" i="7"/>
  <c r="AN61" i="7"/>
  <c r="AM61" i="7"/>
  <c r="AL61" i="7"/>
  <c r="AJ61" i="7"/>
  <c r="AI61" i="7"/>
  <c r="AH61" i="7"/>
  <c r="AN25" i="7"/>
  <c r="AM25" i="7"/>
  <c r="AL25" i="7"/>
  <c r="AJ25" i="7"/>
  <c r="AI25" i="7"/>
  <c r="AH25" i="7"/>
  <c r="AN24" i="7"/>
  <c r="AM24" i="7"/>
  <c r="AL24" i="7"/>
  <c r="AJ24" i="7"/>
  <c r="AI24" i="7"/>
  <c r="AH24" i="7"/>
  <c r="AN23" i="7"/>
  <c r="AM23" i="7"/>
  <c r="AL23" i="7"/>
  <c r="AJ23" i="7"/>
  <c r="AI23" i="7"/>
  <c r="AH23" i="7"/>
  <c r="AN22" i="7"/>
  <c r="AM22" i="7"/>
  <c r="AL22" i="7"/>
  <c r="AJ22" i="7"/>
  <c r="AI22" i="7"/>
  <c r="AH22" i="7"/>
  <c r="AN21" i="7"/>
  <c r="AM21" i="7"/>
  <c r="AL21" i="7"/>
  <c r="AJ21" i="7"/>
  <c r="AI21" i="7"/>
  <c r="AH21" i="7"/>
  <c r="AN20" i="7"/>
  <c r="AM20" i="7"/>
  <c r="AL20" i="7"/>
  <c r="AJ20" i="7"/>
  <c r="AI20" i="7"/>
  <c r="AH20" i="7"/>
  <c r="AN19" i="7"/>
  <c r="AM19" i="7"/>
  <c r="AL19" i="7"/>
  <c r="AJ19" i="7"/>
  <c r="AI19" i="7"/>
  <c r="AH19" i="7"/>
  <c r="AN39" i="7"/>
  <c r="AM39" i="7"/>
  <c r="AL39" i="7"/>
  <c r="AJ39" i="7"/>
  <c r="AI39" i="7"/>
  <c r="AH39" i="7"/>
  <c r="AN38" i="7"/>
  <c r="AM38" i="7"/>
  <c r="AL38" i="7"/>
  <c r="AJ38" i="7"/>
  <c r="AI38" i="7"/>
  <c r="AH38" i="7"/>
  <c r="AN37" i="7"/>
  <c r="AM37" i="7"/>
  <c r="AL37" i="7"/>
  <c r="AJ37" i="7"/>
  <c r="AI37" i="7"/>
  <c r="AH37" i="7"/>
  <c r="AN36" i="7"/>
  <c r="AM36" i="7"/>
  <c r="AL36" i="7"/>
  <c r="AJ36" i="7"/>
  <c r="AI36" i="7"/>
  <c r="AH36" i="7"/>
  <c r="AN35" i="7"/>
  <c r="AM35" i="7"/>
  <c r="AL35" i="7"/>
  <c r="AJ35" i="7"/>
  <c r="AI35" i="7"/>
  <c r="AH35" i="7"/>
  <c r="AN34" i="7"/>
  <c r="AM34" i="7"/>
  <c r="AL34" i="7"/>
  <c r="AJ34" i="7"/>
  <c r="AI34" i="7"/>
  <c r="AH34" i="7"/>
  <c r="AN33" i="7"/>
  <c r="AM33" i="7"/>
  <c r="AL33" i="7"/>
  <c r="AJ33" i="7"/>
  <c r="AI33" i="7"/>
  <c r="AH33" i="7"/>
  <c r="AN13" i="7" l="1"/>
  <c r="AJ26" i="7"/>
  <c r="AN26" i="7"/>
  <c r="AJ40" i="7"/>
  <c r="AJ68" i="7"/>
  <c r="AN40" i="7"/>
  <c r="AN68" i="7"/>
  <c r="AN53" i="7"/>
  <c r="AM53" i="7"/>
  <c r="AL53" i="7"/>
  <c r="AJ53" i="7"/>
  <c r="AI53" i="7"/>
  <c r="AH53" i="7"/>
  <c r="AN52" i="7"/>
  <c r="AM52" i="7"/>
  <c r="AL52" i="7"/>
  <c r="AJ52" i="7"/>
  <c r="AI52" i="7"/>
  <c r="AH52" i="7"/>
  <c r="AN51" i="7"/>
  <c r="AM51" i="7"/>
  <c r="AL51" i="7"/>
  <c r="AJ51" i="7"/>
  <c r="AI51" i="7"/>
  <c r="AH51" i="7"/>
  <c r="AN50" i="7"/>
  <c r="AM50" i="7"/>
  <c r="AL50" i="7"/>
  <c r="AJ50" i="7"/>
  <c r="AI50" i="7"/>
  <c r="AH50" i="7"/>
  <c r="AN49" i="7"/>
  <c r="AM49" i="7"/>
  <c r="AL49" i="7"/>
  <c r="AJ49" i="7"/>
  <c r="AI49" i="7"/>
  <c r="AH49" i="7"/>
  <c r="AN48" i="7"/>
  <c r="AM48" i="7"/>
  <c r="AL48" i="7"/>
  <c r="AJ48" i="7"/>
  <c r="AI48" i="7"/>
  <c r="AH48" i="7"/>
  <c r="AN47" i="7"/>
  <c r="AM47" i="7"/>
  <c r="AL47" i="7"/>
  <c r="AJ47" i="7"/>
  <c r="AI47" i="7"/>
  <c r="AH47" i="7"/>
  <c r="AD67" i="7"/>
  <c r="AC67" i="7"/>
  <c r="AB67" i="7"/>
  <c r="Z67" i="7"/>
  <c r="Y67" i="7"/>
  <c r="X67" i="7"/>
  <c r="T67" i="7"/>
  <c r="S67" i="7"/>
  <c r="R67" i="7"/>
  <c r="P67" i="7"/>
  <c r="O67" i="7"/>
  <c r="N67" i="7"/>
  <c r="J67" i="7"/>
  <c r="I67" i="7"/>
  <c r="H67" i="7"/>
  <c r="F67" i="7"/>
  <c r="E67" i="7"/>
  <c r="D67" i="7"/>
  <c r="AD66" i="7"/>
  <c r="AC66" i="7"/>
  <c r="AB66" i="7"/>
  <c r="Z66" i="7"/>
  <c r="Y66" i="7"/>
  <c r="X66" i="7"/>
  <c r="T66" i="7"/>
  <c r="S66" i="7"/>
  <c r="R66" i="7"/>
  <c r="P66" i="7"/>
  <c r="O66" i="7"/>
  <c r="N66" i="7"/>
  <c r="J66" i="7"/>
  <c r="I66" i="7"/>
  <c r="H66" i="7"/>
  <c r="F66" i="7"/>
  <c r="E66" i="7"/>
  <c r="D66" i="7"/>
  <c r="AD65" i="7"/>
  <c r="AC65" i="7"/>
  <c r="AB65" i="7"/>
  <c r="Z65" i="7"/>
  <c r="Y65" i="7"/>
  <c r="X65" i="7"/>
  <c r="T65" i="7"/>
  <c r="S65" i="7"/>
  <c r="R65" i="7"/>
  <c r="P65" i="7"/>
  <c r="O65" i="7"/>
  <c r="N65" i="7"/>
  <c r="J65" i="7"/>
  <c r="I65" i="7"/>
  <c r="H65" i="7"/>
  <c r="F65" i="7"/>
  <c r="E65" i="7"/>
  <c r="D65" i="7"/>
  <c r="AD64" i="7"/>
  <c r="AC64" i="7"/>
  <c r="AB64" i="7"/>
  <c r="Z64" i="7"/>
  <c r="Y64" i="7"/>
  <c r="X64" i="7"/>
  <c r="T64" i="7"/>
  <c r="S64" i="7"/>
  <c r="R64" i="7"/>
  <c r="P64" i="7"/>
  <c r="O64" i="7"/>
  <c r="N64" i="7"/>
  <c r="J64" i="7"/>
  <c r="I64" i="7"/>
  <c r="H64" i="7"/>
  <c r="F64" i="7"/>
  <c r="E64" i="7"/>
  <c r="D64" i="7"/>
  <c r="AD63" i="7"/>
  <c r="AC63" i="7"/>
  <c r="AB63" i="7"/>
  <c r="Z63" i="7"/>
  <c r="Y63" i="7"/>
  <c r="X63" i="7"/>
  <c r="T63" i="7"/>
  <c r="S63" i="7"/>
  <c r="R63" i="7"/>
  <c r="P63" i="7"/>
  <c r="O63" i="7"/>
  <c r="N63" i="7"/>
  <c r="J63" i="7"/>
  <c r="I63" i="7"/>
  <c r="H63" i="7"/>
  <c r="F63" i="7"/>
  <c r="E63" i="7"/>
  <c r="D63" i="7"/>
  <c r="AD62" i="7"/>
  <c r="AC62" i="7"/>
  <c r="AB62" i="7"/>
  <c r="Z62" i="7"/>
  <c r="Y62" i="7"/>
  <c r="X62" i="7"/>
  <c r="T62" i="7"/>
  <c r="S62" i="7"/>
  <c r="R62" i="7"/>
  <c r="P62" i="7"/>
  <c r="O62" i="7"/>
  <c r="N62" i="7"/>
  <c r="J62" i="7"/>
  <c r="I62" i="7"/>
  <c r="H62" i="7"/>
  <c r="F62" i="7"/>
  <c r="E62" i="7"/>
  <c r="D62" i="7"/>
  <c r="AD61" i="7"/>
  <c r="AC61" i="7"/>
  <c r="AB61" i="7"/>
  <c r="Z61" i="7"/>
  <c r="Y61" i="7"/>
  <c r="X61" i="7"/>
  <c r="T61" i="7"/>
  <c r="S61" i="7"/>
  <c r="R61" i="7"/>
  <c r="P61" i="7"/>
  <c r="O61" i="7"/>
  <c r="N61" i="7"/>
  <c r="J61" i="7"/>
  <c r="I61" i="7"/>
  <c r="H61" i="7"/>
  <c r="F61" i="7"/>
  <c r="E61" i="7"/>
  <c r="D61" i="7"/>
  <c r="AD53" i="7"/>
  <c r="AC53" i="7"/>
  <c r="AB53" i="7"/>
  <c r="Z53" i="7"/>
  <c r="Y53" i="7"/>
  <c r="X53" i="7"/>
  <c r="T53" i="7"/>
  <c r="S53" i="7"/>
  <c r="R53" i="7"/>
  <c r="P53" i="7"/>
  <c r="O53" i="7"/>
  <c r="N53" i="7"/>
  <c r="J53" i="7"/>
  <c r="I53" i="7"/>
  <c r="H53" i="7"/>
  <c r="F53" i="7"/>
  <c r="E53" i="7"/>
  <c r="D53" i="7"/>
  <c r="AD52" i="7"/>
  <c r="AC52" i="7"/>
  <c r="AB52" i="7"/>
  <c r="Z52" i="7"/>
  <c r="Y52" i="7"/>
  <c r="X52" i="7"/>
  <c r="T52" i="7"/>
  <c r="S52" i="7"/>
  <c r="R52" i="7"/>
  <c r="P52" i="7"/>
  <c r="O52" i="7"/>
  <c r="N52" i="7"/>
  <c r="J52" i="7"/>
  <c r="I52" i="7"/>
  <c r="H52" i="7"/>
  <c r="F52" i="7"/>
  <c r="E52" i="7"/>
  <c r="AD51" i="7"/>
  <c r="AC51" i="7"/>
  <c r="AB51" i="7"/>
  <c r="Z51" i="7"/>
  <c r="Y51" i="7"/>
  <c r="X51" i="7"/>
  <c r="T51" i="7"/>
  <c r="S51" i="7"/>
  <c r="R51" i="7"/>
  <c r="P51" i="7"/>
  <c r="O51" i="7"/>
  <c r="J51" i="7"/>
  <c r="I51" i="7"/>
  <c r="H51" i="7"/>
  <c r="F51" i="7"/>
  <c r="E51" i="7"/>
  <c r="D51" i="7"/>
  <c r="AD50" i="7"/>
  <c r="AC50" i="7"/>
  <c r="AB50" i="7"/>
  <c r="Z50" i="7"/>
  <c r="Y50" i="7"/>
  <c r="X50" i="7"/>
  <c r="T50" i="7"/>
  <c r="S50" i="7"/>
  <c r="R50" i="7"/>
  <c r="P50" i="7"/>
  <c r="O50" i="7"/>
  <c r="N50" i="7"/>
  <c r="J50" i="7"/>
  <c r="I50" i="7"/>
  <c r="H50" i="7"/>
  <c r="F50" i="7"/>
  <c r="E50" i="7"/>
  <c r="D50" i="7"/>
  <c r="AD49" i="7"/>
  <c r="AC49" i="7"/>
  <c r="AB49" i="7"/>
  <c r="Z49" i="7"/>
  <c r="Y49" i="7"/>
  <c r="T49" i="7"/>
  <c r="S49" i="7"/>
  <c r="R49" i="7"/>
  <c r="P49" i="7"/>
  <c r="O49" i="7"/>
  <c r="N49" i="7"/>
  <c r="J49" i="7"/>
  <c r="I49" i="7"/>
  <c r="H49" i="7"/>
  <c r="F49" i="7"/>
  <c r="E49" i="7"/>
  <c r="D49" i="7"/>
  <c r="AD48" i="7"/>
  <c r="AC48" i="7"/>
  <c r="AB48" i="7"/>
  <c r="Z48" i="7"/>
  <c r="Y48" i="7"/>
  <c r="X48" i="7"/>
  <c r="T48" i="7"/>
  <c r="S48" i="7"/>
  <c r="R48" i="7"/>
  <c r="P48" i="7"/>
  <c r="O48" i="7"/>
  <c r="N48" i="7"/>
  <c r="J48" i="7"/>
  <c r="I48" i="7"/>
  <c r="H48" i="7"/>
  <c r="F48" i="7"/>
  <c r="E48" i="7"/>
  <c r="D48" i="7"/>
  <c r="AD47" i="7"/>
  <c r="AC47" i="7"/>
  <c r="AB47" i="7"/>
  <c r="Z47" i="7"/>
  <c r="Y47" i="7"/>
  <c r="X47" i="7"/>
  <c r="T47" i="7"/>
  <c r="S47" i="7"/>
  <c r="R47" i="7"/>
  <c r="P47" i="7"/>
  <c r="O47" i="7"/>
  <c r="N47" i="7"/>
  <c r="J47" i="7"/>
  <c r="I47" i="7"/>
  <c r="H47" i="7"/>
  <c r="F47" i="7"/>
  <c r="E47" i="7"/>
  <c r="D47" i="7"/>
  <c r="AD39" i="7"/>
  <c r="AC39" i="7"/>
  <c r="AB39" i="7"/>
  <c r="Z39" i="7"/>
  <c r="Y39" i="7"/>
  <c r="X39" i="7"/>
  <c r="T39" i="7"/>
  <c r="S39" i="7"/>
  <c r="R39" i="7"/>
  <c r="P39" i="7"/>
  <c r="O39" i="7"/>
  <c r="N39" i="7"/>
  <c r="J39" i="7"/>
  <c r="I39" i="7"/>
  <c r="H39" i="7"/>
  <c r="F39" i="7"/>
  <c r="E39" i="7"/>
  <c r="AD38" i="7"/>
  <c r="AC38" i="7"/>
  <c r="AB38" i="7"/>
  <c r="Z38" i="7"/>
  <c r="Y38" i="7"/>
  <c r="T38" i="7"/>
  <c r="S38" i="7"/>
  <c r="R38" i="7"/>
  <c r="P38" i="7"/>
  <c r="O38" i="7"/>
  <c r="N38" i="7"/>
  <c r="J38" i="7"/>
  <c r="I38" i="7"/>
  <c r="H38" i="7"/>
  <c r="F38" i="7"/>
  <c r="E38" i="7"/>
  <c r="D38" i="7"/>
  <c r="AD37" i="7"/>
  <c r="AC37" i="7"/>
  <c r="AB37" i="7"/>
  <c r="Z37" i="7"/>
  <c r="Y37" i="7"/>
  <c r="X37" i="7"/>
  <c r="T37" i="7"/>
  <c r="S37" i="7"/>
  <c r="R37" i="7"/>
  <c r="P37" i="7"/>
  <c r="O37" i="7"/>
  <c r="N37" i="7"/>
  <c r="J37" i="7"/>
  <c r="I37" i="7"/>
  <c r="H37" i="7"/>
  <c r="F37" i="7"/>
  <c r="E37" i="7"/>
  <c r="D37" i="7"/>
  <c r="AD36" i="7"/>
  <c r="AC36" i="7"/>
  <c r="AB36" i="7"/>
  <c r="Z36" i="7"/>
  <c r="Y36" i="7"/>
  <c r="X36" i="7"/>
  <c r="T36" i="7"/>
  <c r="S36" i="7"/>
  <c r="R36" i="7"/>
  <c r="P36" i="7"/>
  <c r="O36" i="7"/>
  <c r="N36" i="7"/>
  <c r="J36" i="7"/>
  <c r="I36" i="7"/>
  <c r="H36" i="7"/>
  <c r="F36" i="7"/>
  <c r="E36" i="7"/>
  <c r="D36" i="7"/>
  <c r="AD35" i="7"/>
  <c r="AC35" i="7"/>
  <c r="AB35" i="7"/>
  <c r="Z35" i="7"/>
  <c r="Y35" i="7"/>
  <c r="X35" i="7"/>
  <c r="T35" i="7"/>
  <c r="S35" i="7"/>
  <c r="R35" i="7"/>
  <c r="P35" i="7"/>
  <c r="O35" i="7"/>
  <c r="N35" i="7"/>
  <c r="J35" i="7"/>
  <c r="I35" i="7"/>
  <c r="H35" i="7"/>
  <c r="F35" i="7"/>
  <c r="E35" i="7"/>
  <c r="D35" i="7"/>
  <c r="AD34" i="7"/>
  <c r="AC34" i="7"/>
  <c r="AB34" i="7"/>
  <c r="Z34" i="7"/>
  <c r="Y34" i="7"/>
  <c r="X34" i="7"/>
  <c r="T34" i="7"/>
  <c r="S34" i="7"/>
  <c r="R34" i="7"/>
  <c r="P34" i="7"/>
  <c r="O34" i="7"/>
  <c r="N34" i="7"/>
  <c r="J34" i="7"/>
  <c r="I34" i="7"/>
  <c r="H34" i="7"/>
  <c r="F34" i="7"/>
  <c r="E34" i="7"/>
  <c r="D34" i="7"/>
  <c r="AD33" i="7"/>
  <c r="AC33" i="7"/>
  <c r="AB33" i="7"/>
  <c r="Z33" i="7"/>
  <c r="Y33" i="7"/>
  <c r="X33" i="7"/>
  <c r="T33" i="7"/>
  <c r="S33" i="7"/>
  <c r="R33" i="7"/>
  <c r="P33" i="7"/>
  <c r="O33" i="7"/>
  <c r="N33" i="7"/>
  <c r="J33" i="7"/>
  <c r="I33" i="7"/>
  <c r="H33" i="7"/>
  <c r="F33" i="7"/>
  <c r="E33" i="7"/>
  <c r="D33" i="7"/>
  <c r="AC25" i="7"/>
  <c r="AB25" i="7"/>
  <c r="Z25" i="7"/>
  <c r="Y25" i="7"/>
  <c r="X25" i="7"/>
  <c r="T25" i="7"/>
  <c r="S25" i="7"/>
  <c r="R25" i="7"/>
  <c r="P25" i="7"/>
  <c r="O25" i="7"/>
  <c r="N25" i="7"/>
  <c r="J25" i="7"/>
  <c r="I25" i="7"/>
  <c r="H25" i="7"/>
  <c r="F25" i="7"/>
  <c r="E25" i="7"/>
  <c r="D25" i="7"/>
  <c r="AC24" i="7"/>
  <c r="AB24" i="7"/>
  <c r="Z24" i="7"/>
  <c r="Y24" i="7"/>
  <c r="X24" i="7"/>
  <c r="T24" i="7"/>
  <c r="S24" i="7"/>
  <c r="R24" i="7"/>
  <c r="P24" i="7"/>
  <c r="O24" i="7"/>
  <c r="N24" i="7"/>
  <c r="J24" i="7"/>
  <c r="I24" i="7"/>
  <c r="H24" i="7"/>
  <c r="F24" i="7"/>
  <c r="E24" i="7"/>
  <c r="D24" i="7"/>
  <c r="AC23" i="7"/>
  <c r="AB23" i="7"/>
  <c r="Z23" i="7"/>
  <c r="Y23" i="7"/>
  <c r="X23" i="7"/>
  <c r="T23" i="7"/>
  <c r="S23" i="7"/>
  <c r="R23" i="7"/>
  <c r="P23" i="7"/>
  <c r="O23" i="7"/>
  <c r="N23" i="7"/>
  <c r="J23" i="7"/>
  <c r="I23" i="7"/>
  <c r="H23" i="7"/>
  <c r="F23" i="7"/>
  <c r="E23" i="7"/>
  <c r="D23" i="7"/>
  <c r="AC22" i="7"/>
  <c r="AB22" i="7"/>
  <c r="Z22" i="7"/>
  <c r="Y22" i="7"/>
  <c r="X22" i="7"/>
  <c r="T22" i="7"/>
  <c r="S22" i="7"/>
  <c r="R22" i="7"/>
  <c r="P22" i="7"/>
  <c r="O22" i="7"/>
  <c r="N22" i="7"/>
  <c r="J22" i="7"/>
  <c r="I22" i="7"/>
  <c r="H22" i="7"/>
  <c r="F22" i="7"/>
  <c r="E22" i="7"/>
  <c r="D22" i="7"/>
  <c r="AC21" i="7"/>
  <c r="AB21" i="7"/>
  <c r="Z21" i="7"/>
  <c r="Y21" i="7"/>
  <c r="X21" i="7"/>
  <c r="T21" i="7"/>
  <c r="S21" i="7"/>
  <c r="R21" i="7"/>
  <c r="P21" i="7"/>
  <c r="O21" i="7"/>
  <c r="N21" i="7"/>
  <c r="J21" i="7"/>
  <c r="I21" i="7"/>
  <c r="H21" i="7"/>
  <c r="F21" i="7"/>
  <c r="E21" i="7"/>
  <c r="D21" i="7"/>
  <c r="AC20" i="7"/>
  <c r="AB20" i="7"/>
  <c r="Z20" i="7"/>
  <c r="Y20" i="7"/>
  <c r="X20" i="7"/>
  <c r="T20" i="7"/>
  <c r="S20" i="7"/>
  <c r="R20" i="7"/>
  <c r="P20" i="7"/>
  <c r="O20" i="7"/>
  <c r="N20" i="7"/>
  <c r="J20" i="7"/>
  <c r="I20" i="7"/>
  <c r="H20" i="7"/>
  <c r="F20" i="7"/>
  <c r="E20" i="7"/>
  <c r="D20" i="7"/>
  <c r="AC19" i="7"/>
  <c r="AB19" i="7"/>
  <c r="Z19" i="7"/>
  <c r="Y19" i="7"/>
  <c r="X19" i="7"/>
  <c r="T19" i="7"/>
  <c r="S19" i="7"/>
  <c r="R19" i="7"/>
  <c r="P19" i="7"/>
  <c r="O19" i="7"/>
  <c r="N19" i="7"/>
  <c r="J19" i="7"/>
  <c r="I19" i="7"/>
  <c r="H19" i="7"/>
  <c r="F19" i="7"/>
  <c r="E19" i="7"/>
  <c r="D19" i="7"/>
  <c r="AD10" i="7"/>
  <c r="AC10" i="7"/>
  <c r="AB10" i="7"/>
  <c r="Z10" i="7"/>
  <c r="Y10" i="7"/>
  <c r="X10" i="7"/>
  <c r="T10" i="7"/>
  <c r="S10" i="7"/>
  <c r="R10" i="7"/>
  <c r="P10" i="7"/>
  <c r="O10" i="7"/>
  <c r="N10" i="7"/>
  <c r="J10" i="7"/>
  <c r="I10" i="7"/>
  <c r="H10" i="7"/>
  <c r="F10" i="7"/>
  <c r="E10" i="7"/>
  <c r="D10" i="7"/>
  <c r="AD9" i="7"/>
  <c r="AC9" i="7"/>
  <c r="AB9" i="7"/>
  <c r="Z9" i="7"/>
  <c r="Y9" i="7"/>
  <c r="X9" i="7"/>
  <c r="T9" i="7"/>
  <c r="S9" i="7"/>
  <c r="R9" i="7"/>
  <c r="P9" i="7"/>
  <c r="O9" i="7"/>
  <c r="N9" i="7"/>
  <c r="J9" i="7"/>
  <c r="I9" i="7"/>
  <c r="H9" i="7"/>
  <c r="F9" i="7"/>
  <c r="E9" i="7"/>
  <c r="D9" i="7"/>
  <c r="AD8" i="7"/>
  <c r="AC8" i="7"/>
  <c r="AB8" i="7"/>
  <c r="Z8" i="7"/>
  <c r="Y8" i="7"/>
  <c r="X8" i="7"/>
  <c r="T8" i="7"/>
  <c r="S8" i="7"/>
  <c r="R8" i="7"/>
  <c r="P8" i="7"/>
  <c r="O8" i="7"/>
  <c r="N8" i="7"/>
  <c r="J8" i="7"/>
  <c r="I8" i="7"/>
  <c r="H8" i="7"/>
  <c r="F8" i="7"/>
  <c r="E8" i="7"/>
  <c r="D8" i="7"/>
  <c r="AD7" i="7"/>
  <c r="AC7" i="7"/>
  <c r="AB7" i="7"/>
  <c r="Z7" i="7"/>
  <c r="Y7" i="7"/>
  <c r="X7" i="7"/>
  <c r="T7" i="7"/>
  <c r="S7" i="7"/>
  <c r="R7" i="7"/>
  <c r="P7" i="7"/>
  <c r="O7" i="7"/>
  <c r="N7" i="7"/>
  <c r="J7" i="7"/>
  <c r="I7" i="7"/>
  <c r="H7" i="7"/>
  <c r="F7" i="7"/>
  <c r="E7" i="7"/>
  <c r="D7" i="7"/>
  <c r="AD6" i="7"/>
  <c r="AC6" i="7"/>
  <c r="AB6" i="7"/>
  <c r="Z6" i="7"/>
  <c r="Y6" i="7"/>
  <c r="X6" i="7"/>
  <c r="T6" i="7"/>
  <c r="S6" i="7"/>
  <c r="R6" i="7"/>
  <c r="P6" i="7"/>
  <c r="O6" i="7"/>
  <c r="N6" i="7"/>
  <c r="J6" i="7"/>
  <c r="I6" i="7"/>
  <c r="H6" i="7"/>
  <c r="F6" i="7"/>
  <c r="E6" i="7"/>
  <c r="D6" i="7"/>
  <c r="AD5" i="7"/>
  <c r="AC5" i="7"/>
  <c r="AB5" i="7"/>
  <c r="Z5" i="7"/>
  <c r="Y5" i="7"/>
  <c r="X5" i="7"/>
  <c r="T5" i="7"/>
  <c r="S5" i="7"/>
  <c r="R5" i="7"/>
  <c r="P5" i="7"/>
  <c r="O5" i="7"/>
  <c r="N5" i="7"/>
  <c r="J5" i="7"/>
  <c r="I5" i="7"/>
  <c r="H5" i="7"/>
  <c r="F5" i="7"/>
  <c r="E5" i="7"/>
  <c r="D5" i="7"/>
  <c r="AD4" i="7"/>
  <c r="AC4" i="7"/>
  <c r="AB4" i="7"/>
  <c r="Z4" i="7"/>
  <c r="Y4" i="7"/>
  <c r="X4" i="7"/>
  <c r="T4" i="7"/>
  <c r="S4" i="7"/>
  <c r="R4" i="7"/>
  <c r="P4" i="7"/>
  <c r="O4" i="7"/>
  <c r="N4" i="7"/>
  <c r="J4" i="7"/>
  <c r="I4" i="7"/>
  <c r="H4" i="7"/>
  <c r="F4" i="7"/>
  <c r="E4" i="7"/>
  <c r="D4" i="7"/>
  <c r="H63" i="8"/>
  <c r="M21" i="8" s="1"/>
  <c r="G63" i="8"/>
  <c r="D63" i="8"/>
  <c r="O4" i="8" s="1"/>
  <c r="M43" i="8"/>
  <c r="M42" i="8"/>
  <c r="M41" i="8"/>
  <c r="M40" i="8"/>
  <c r="M39" i="8"/>
  <c r="M38" i="8"/>
  <c r="M19" i="8" l="1"/>
  <c r="AN28" i="7"/>
  <c r="AN42" i="7"/>
  <c r="AN70" i="7"/>
  <c r="F68" i="7"/>
  <c r="J68" i="7"/>
  <c r="F54" i="7"/>
  <c r="J54" i="7"/>
  <c r="AD68" i="7"/>
  <c r="P68" i="7"/>
  <c r="T68" i="7"/>
  <c r="Z68" i="7"/>
  <c r="AJ54" i="7"/>
  <c r="AN54" i="7"/>
  <c r="Z54" i="7"/>
  <c r="T26" i="7"/>
  <c r="J40" i="7"/>
  <c r="M22" i="8"/>
  <c r="M23" i="8" s="1"/>
  <c r="P40" i="7"/>
  <c r="O3" i="8"/>
  <c r="P26" i="7"/>
  <c r="AD54" i="7"/>
  <c r="AD26" i="7"/>
  <c r="F11" i="7"/>
  <c r="F12" i="7" s="1"/>
  <c r="Z26" i="7"/>
  <c r="AD40" i="7"/>
  <c r="T54" i="7"/>
  <c r="P54" i="7"/>
  <c r="Z11" i="7"/>
  <c r="P11" i="7"/>
  <c r="J26" i="7"/>
  <c r="F26" i="7"/>
  <c r="T11" i="7"/>
  <c r="J11" i="7"/>
  <c r="F40" i="7"/>
  <c r="T40" i="7"/>
  <c r="Z40" i="7"/>
  <c r="AD11" i="7"/>
  <c r="F2" i="7"/>
  <c r="M15" i="8" l="1"/>
  <c r="M14" i="8"/>
  <c r="M13" i="8"/>
  <c r="M10" i="8"/>
  <c r="M12" i="8"/>
  <c r="M11" i="8"/>
  <c r="N11" i="8" s="1"/>
  <c r="R11" i="8" s="1"/>
  <c r="T70" i="7"/>
  <c r="AD70" i="7"/>
  <c r="AN56" i="7"/>
  <c r="AD56" i="7"/>
  <c r="J28" i="7"/>
  <c r="T28" i="7"/>
  <c r="T13" i="7"/>
  <c r="J42" i="7"/>
  <c r="T42" i="7"/>
  <c r="F13" i="7"/>
  <c r="P13" i="7" s="1"/>
  <c r="Z13" i="7" s="1"/>
  <c r="J13" i="7"/>
  <c r="AD42" i="7"/>
  <c r="AD13" i="7"/>
  <c r="AD28" i="7"/>
  <c r="T56" i="7"/>
  <c r="J12" i="7"/>
  <c r="T12" i="7" s="1"/>
  <c r="P12" i="7"/>
  <c r="Q11" i="8" l="1"/>
  <c r="P11" i="8"/>
  <c r="O11" i="8"/>
  <c r="N12" i="8"/>
  <c r="R12" i="8" s="1"/>
  <c r="N14" i="8"/>
  <c r="N10" i="8"/>
  <c r="R10" i="8" s="1"/>
  <c r="N15" i="8"/>
  <c r="N13" i="8"/>
  <c r="F28" i="7"/>
  <c r="P28" i="7" s="1"/>
  <c r="Z28" i="7" s="1"/>
  <c r="AJ28" i="7" s="1"/>
  <c r="F42" i="7" s="1"/>
  <c r="P42" i="7" s="1"/>
  <c r="Z42" i="7" s="1"/>
  <c r="AJ42" i="7" s="1"/>
  <c r="AJ13" i="7"/>
  <c r="J14" i="7"/>
  <c r="M29" i="8"/>
  <c r="R29" i="8" s="1"/>
  <c r="T14" i="7"/>
  <c r="AD12" i="7"/>
  <c r="AN12" i="7" s="1"/>
  <c r="Z12" i="7"/>
  <c r="P2" i="7"/>
  <c r="M30" i="8" l="1"/>
  <c r="R30" i="8" s="1"/>
  <c r="M31" i="8"/>
  <c r="R31" i="8" s="1"/>
  <c r="R13" i="8"/>
  <c r="Q29" i="8"/>
  <c r="M33" i="8"/>
  <c r="R33" i="8" s="1"/>
  <c r="R15" i="8"/>
  <c r="M32" i="8"/>
  <c r="R32" i="8" s="1"/>
  <c r="R14" i="8"/>
  <c r="P15" i="8"/>
  <c r="O15" i="8"/>
  <c r="Q15" i="8"/>
  <c r="O14" i="8"/>
  <c r="Q14" i="8"/>
  <c r="P14" i="8"/>
  <c r="Q10" i="8"/>
  <c r="O10" i="8"/>
  <c r="P10" i="8"/>
  <c r="O12" i="8"/>
  <c r="Q12" i="8"/>
  <c r="P12" i="8"/>
  <c r="M28" i="8"/>
  <c r="R28" i="8" s="1"/>
  <c r="Q13" i="8"/>
  <c r="P13" i="8"/>
  <c r="O13" i="8"/>
  <c r="AN14" i="7"/>
  <c r="AJ12" i="7"/>
  <c r="N29" i="8"/>
  <c r="P29" i="8"/>
  <c r="O29" i="8"/>
  <c r="O30" i="8"/>
  <c r="F27" i="7"/>
  <c r="AD14" i="7"/>
  <c r="J27" i="7"/>
  <c r="Z2" i="7"/>
  <c r="AJ2" i="7"/>
  <c r="N30" i="8" l="1"/>
  <c r="Q30" i="8"/>
  <c r="P30" i="8"/>
  <c r="P31" i="8"/>
  <c r="O31" i="8"/>
  <c r="N31" i="8"/>
  <c r="O32" i="8"/>
  <c r="N32" i="8"/>
  <c r="P32" i="8"/>
  <c r="Q28" i="8"/>
  <c r="Q33" i="8"/>
  <c r="O33" i="8"/>
  <c r="P33" i="8"/>
  <c r="N33" i="8"/>
  <c r="Q32" i="8"/>
  <c r="Q31" i="8"/>
  <c r="O28" i="8"/>
  <c r="N28" i="8"/>
  <c r="P28" i="8"/>
  <c r="P27" i="7"/>
  <c r="J29" i="7"/>
  <c r="T27" i="7"/>
  <c r="F17" i="7"/>
  <c r="T29" i="7" l="1"/>
  <c r="AD27" i="7"/>
  <c r="AN27" i="7" s="1"/>
  <c r="Z27" i="7"/>
  <c r="P17" i="7"/>
  <c r="AN29" i="7" l="1"/>
  <c r="J41" i="7"/>
  <c r="AJ27" i="7"/>
  <c r="AD29" i="7"/>
  <c r="Z17" i="7"/>
  <c r="AJ17" i="7"/>
  <c r="F41" i="7" l="1"/>
  <c r="J43" i="7"/>
  <c r="T41" i="7"/>
  <c r="F31" i="7"/>
  <c r="P41" i="7" l="1"/>
  <c r="T43" i="7"/>
  <c r="AD41" i="7"/>
  <c r="AN41" i="7" s="1"/>
  <c r="P31" i="7"/>
  <c r="Z41" i="7" l="1"/>
  <c r="AJ41" i="7" s="1"/>
  <c r="AN43" i="7"/>
  <c r="J55" i="7"/>
  <c r="AD43" i="7"/>
  <c r="Z31" i="7"/>
  <c r="AJ31" i="7"/>
  <c r="F55" i="7" l="1"/>
  <c r="J56" i="7" l="1"/>
  <c r="P55" i="7"/>
  <c r="P45" i="7"/>
  <c r="F45" i="7"/>
  <c r="Z55" i="7" l="1"/>
  <c r="Z45" i="7"/>
  <c r="AJ55" i="7" l="1"/>
  <c r="T55" i="7"/>
  <c r="AD55" i="7" s="1"/>
  <c r="F56" i="7"/>
  <c r="P56" i="7" s="1"/>
  <c r="Z56" i="7" s="1"/>
  <c r="AJ45" i="7"/>
  <c r="AJ56" i="7" l="1"/>
  <c r="AD57" i="7"/>
  <c r="AN55" i="7"/>
  <c r="T57" i="7"/>
  <c r="J57" i="7"/>
  <c r="AN57" i="7" l="1"/>
  <c r="J70" i="7"/>
  <c r="F69" i="7"/>
  <c r="P69" i="7" s="1"/>
  <c r="Z69" i="7" s="1"/>
  <c r="AJ69" i="7" l="1"/>
  <c r="F70" i="7"/>
  <c r="J69" i="7"/>
  <c r="T69" i="7" s="1"/>
  <c r="AJ59" i="7"/>
  <c r="F59" i="7"/>
  <c r="AD69" i="7" l="1"/>
  <c r="J71" i="7"/>
  <c r="P70" i="7"/>
  <c r="T71" i="7" s="1"/>
  <c r="P59" i="7"/>
  <c r="Z70" i="7" l="1"/>
  <c r="AN69" i="7"/>
  <c r="Z59" i="7"/>
  <c r="AJ70" i="7" l="1"/>
  <c r="AN71" i="7" s="1"/>
  <c r="AD71" i="7"/>
</calcChain>
</file>

<file path=xl/sharedStrings.xml><?xml version="1.0" encoding="utf-8"?>
<sst xmlns="http://schemas.openxmlformats.org/spreadsheetml/2006/main" count="434" uniqueCount="119">
  <si>
    <t>Fall 2014</t>
  </si>
  <si>
    <t>Fall 2013</t>
  </si>
  <si>
    <t>Spring 2014</t>
  </si>
  <si>
    <t>Spring 2015</t>
  </si>
  <si>
    <t>Total Credits</t>
  </si>
  <si>
    <t xml:space="preserve">Fall 2016   </t>
  </si>
  <si>
    <t xml:space="preserve">Spring 2016   </t>
  </si>
  <si>
    <t>Course Name</t>
  </si>
  <si>
    <t>Course Description</t>
  </si>
  <si>
    <t>Major</t>
  </si>
  <si>
    <t>Credits</t>
  </si>
  <si>
    <t>Semester Taken</t>
  </si>
  <si>
    <t>Enrolled</t>
  </si>
  <si>
    <t>Complete</t>
  </si>
  <si>
    <t>GPA</t>
  </si>
  <si>
    <t>Winterim 2014</t>
  </si>
  <si>
    <t>Cum GPA</t>
  </si>
  <si>
    <t>Cum Grade Points</t>
  </si>
  <si>
    <t>Cum Credits</t>
  </si>
  <si>
    <t>Cum GPA Credits</t>
  </si>
  <si>
    <t>Course</t>
  </si>
  <si>
    <t>Winterim 2016</t>
  </si>
  <si>
    <t>Spring 2017</t>
  </si>
  <si>
    <t>Winterim 2017</t>
  </si>
  <si>
    <t>Name</t>
  </si>
  <si>
    <t>Degree</t>
  </si>
  <si>
    <t xml:space="preserve"> </t>
  </si>
  <si>
    <t>Grade Points</t>
  </si>
  <si>
    <t>GradePoints</t>
  </si>
  <si>
    <r>
      <t>Winterim 2015---</t>
    </r>
    <r>
      <rPr>
        <b/>
        <u/>
        <sz val="16"/>
        <color rgb="FFFF0000"/>
        <rFont val="Calibri"/>
        <family val="2"/>
        <scheme val="minor"/>
      </rPr>
      <t>Register Nov 4th</t>
    </r>
  </si>
  <si>
    <t>Notes</t>
  </si>
  <si>
    <t>Total GPA Credits</t>
  </si>
  <si>
    <t>To be lost</t>
  </si>
  <si>
    <t>A-'s</t>
  </si>
  <si>
    <t>B's</t>
  </si>
  <si>
    <t>C's</t>
  </si>
  <si>
    <t>Completed</t>
  </si>
  <si>
    <t>Completed Credits</t>
  </si>
  <si>
    <t>Current GPA</t>
  </si>
  <si>
    <t>Possible Grade Points</t>
  </si>
  <si>
    <t>Lost Grade Points</t>
  </si>
  <si>
    <t>How many more of each grade can I get then?</t>
  </si>
  <si>
    <t>What about Right now??</t>
  </si>
  <si>
    <t>At the End of my College Career I will have…</t>
  </si>
  <si>
    <t>So How many of each Letter Grade Can I get for given GPA's?</t>
  </si>
  <si>
    <t>GP can lose</t>
  </si>
  <si>
    <t>Semester GPA</t>
  </si>
  <si>
    <t xml:space="preserve">per course would lose </t>
  </si>
  <si>
    <t>A</t>
  </si>
  <si>
    <t>A-</t>
  </si>
  <si>
    <t>B</t>
  </si>
  <si>
    <t>C</t>
  </si>
  <si>
    <t>D</t>
  </si>
  <si>
    <t>F</t>
  </si>
  <si>
    <t>Summer 2017</t>
  </si>
  <si>
    <t>Winterim 2018</t>
  </si>
  <si>
    <t>Spring 2018</t>
  </si>
  <si>
    <t>Summer 2016</t>
  </si>
  <si>
    <t>Summer 2015</t>
  </si>
  <si>
    <t>Summer 2018</t>
  </si>
  <si>
    <t>Courses Left</t>
  </si>
  <si>
    <t>Courses Completed</t>
  </si>
  <si>
    <t>Counter</t>
  </si>
  <si>
    <t>D's</t>
  </si>
  <si>
    <t>Senior</t>
  </si>
  <si>
    <t>Junior</t>
  </si>
  <si>
    <t>Sophomore</t>
  </si>
  <si>
    <t>Freshmen</t>
  </si>
  <si>
    <t>Starting Credits:</t>
  </si>
  <si>
    <t xml:space="preserve">6) </t>
  </si>
  <si>
    <t>Click Here to go to the Semester View</t>
  </si>
  <si>
    <t>For Each Term enter in the name of the course into an empty bold box in that term.</t>
  </si>
  <si>
    <t>5)</t>
  </si>
  <si>
    <t>Go to the "Semester View" sheet and edit the Term names to correspond with the terms you need</t>
  </si>
  <si>
    <t>4)</t>
  </si>
  <si>
    <t>Click Here to go to the Course List Table</t>
  </si>
  <si>
    <t>Go to the "Course List" Sheet And enter in all of the courses that are required to complete your major Into the Courses Table</t>
  </si>
  <si>
    <t>3)</t>
  </si>
  <si>
    <t>Enter in the necessary setup information below, outlined in Yellow.</t>
  </si>
  <si>
    <t xml:space="preserve">2) </t>
  </si>
  <si>
    <t>Attempting to edit other cells will display an error message saying the cell is locked.</t>
  </si>
  <si>
    <t>1)</t>
  </si>
  <si>
    <t>http://www.nickbolles.com</t>
  </si>
  <si>
    <r>
      <rPr>
        <sz val="11"/>
        <color theme="4" tint="-0.499984740745262"/>
        <rFont val="Calibri"/>
        <family val="2"/>
        <scheme val="minor"/>
      </rPr>
      <t>By: Nick Bolles</t>
    </r>
    <r>
      <rPr>
        <sz val="11"/>
        <color theme="1"/>
        <rFont val="Calibri"/>
        <family val="2"/>
        <scheme val="minor"/>
      </rPr>
      <t xml:space="preserve">    Visit Me At: </t>
    </r>
  </si>
  <si>
    <t>Use The Below Area as a Scratch Area</t>
  </si>
  <si>
    <t>enter in the gradepoints for the course on the Courselist Table and enter "Y" into the Completed Column</t>
  </si>
  <si>
    <t xml:space="preserve">When a course is completed, or if you would like to see estimates of your grade, </t>
  </si>
  <si>
    <t>Grade Standing:</t>
  </si>
  <si>
    <t>2013-2014</t>
  </si>
  <si>
    <t>2014-2015</t>
  </si>
  <si>
    <t>2015-2016</t>
  </si>
  <si>
    <t>2016-2017</t>
  </si>
  <si>
    <t>2017-2018</t>
  </si>
  <si>
    <t>Fall 2017</t>
  </si>
  <si>
    <t>Winterim</t>
  </si>
  <si>
    <t>Spring</t>
  </si>
  <si>
    <t>Summer</t>
  </si>
  <si>
    <t>Enter in Starting credits from (for example) A.P. tests</t>
  </si>
  <si>
    <t>F's</t>
  </si>
  <si>
    <t xml:space="preserve">7) </t>
  </si>
  <si>
    <t>Extra Sheets can be used to paste advising reports, planning sheets, etc</t>
  </si>
  <si>
    <t>How to use this Workbook</t>
  </si>
  <si>
    <t>First: Fill Out The Following Information</t>
  </si>
  <si>
    <t>Fall 2015</t>
  </si>
  <si>
    <t>Note: This name of the course MUST match the name entered on the courses Table</t>
  </si>
  <si>
    <t>Note: Any Edits to courses must be done on the Course List Sheet, in the Courses Table</t>
  </si>
  <si>
    <r>
      <t xml:space="preserve">Only attempt to edit boxes that are outlined in </t>
    </r>
    <r>
      <rPr>
        <b/>
        <sz val="11"/>
        <rFont val="Calibri"/>
        <family val="2"/>
        <scheme val="minor"/>
      </rPr>
      <t>black,</t>
    </r>
    <r>
      <rPr>
        <sz val="11"/>
        <color theme="0"/>
        <rFont val="Calibri"/>
        <family val="2"/>
        <scheme val="minor"/>
      </rPr>
      <t xml:space="preserve"> or that are in the </t>
    </r>
    <r>
      <rPr>
        <b/>
        <sz val="11"/>
        <rFont val="Calibri"/>
        <family val="2"/>
        <scheme val="minor"/>
      </rPr>
      <t>courses-list Table</t>
    </r>
  </si>
  <si>
    <t>Tips:</t>
  </si>
  <si>
    <t xml:space="preserve"> above the section. The same can be done for a school year, by clicking the plus or minus button to the left of the section</t>
  </si>
  <si>
    <r>
      <t xml:space="preserve">You can hide/show a term type (fall, Winterim, Summer, etc) in the </t>
    </r>
    <r>
      <rPr>
        <i/>
        <sz val="11"/>
        <color theme="1"/>
        <rFont val="Calibri"/>
        <family val="2"/>
        <scheme val="minor"/>
      </rPr>
      <t xml:space="preserve">Semester View </t>
    </r>
    <r>
      <rPr>
        <sz val="11"/>
        <color theme="1"/>
        <rFont val="Calibri"/>
        <family val="2"/>
        <scheme val="minor"/>
      </rPr>
      <t xml:space="preserve">by clicking on the plus/minus button in the margin </t>
    </r>
  </si>
  <si>
    <r>
      <t xml:space="preserve">On the </t>
    </r>
    <r>
      <rPr>
        <i/>
        <sz val="11"/>
        <color theme="1"/>
        <rFont val="Calibri"/>
        <family val="2"/>
        <scheme val="minor"/>
      </rPr>
      <t>Course List</t>
    </r>
    <r>
      <rPr>
        <sz val="11"/>
        <color theme="1"/>
        <rFont val="Calibri"/>
        <family val="2"/>
        <scheme val="minor"/>
      </rPr>
      <t xml:space="preserve"> sheet, there is a section that analyzes how many of each grade you can get, for your entire college career and </t>
    </r>
  </si>
  <si>
    <t>from now until the end of your college career.</t>
  </si>
  <si>
    <t>Just make sure to enter "Y" in the Completed Column to include it into the Calculations</t>
  </si>
  <si>
    <r>
      <t xml:space="preserve">You can temperarily enter in Grade Points for a course on the </t>
    </r>
    <r>
      <rPr>
        <i/>
        <sz val="11"/>
        <color theme="1"/>
        <rFont val="Calibri"/>
        <family val="2"/>
        <scheme val="minor"/>
      </rPr>
      <t>Course List</t>
    </r>
    <r>
      <rPr>
        <sz val="11"/>
        <color theme="1"/>
        <rFont val="Calibri"/>
        <family val="2"/>
        <scheme val="minor"/>
      </rPr>
      <t xml:space="preserve"> table to see what your GPA would be in a certain scenario. </t>
    </r>
  </si>
  <si>
    <r>
      <t xml:space="preserve">If you Like this worksheet keep an eye out for my </t>
    </r>
    <r>
      <rPr>
        <b/>
        <sz val="11"/>
        <color theme="1"/>
        <rFont val="Calibri"/>
        <family val="2"/>
        <scheme val="minor"/>
      </rPr>
      <t>app,</t>
    </r>
    <r>
      <rPr>
        <sz val="11"/>
        <color theme="1"/>
        <rFont val="Calibri"/>
        <family val="2"/>
        <scheme val="minor"/>
      </rPr>
      <t xml:space="preserve"> which will make this and so much more even </t>
    </r>
    <r>
      <rPr>
        <b/>
        <sz val="11"/>
        <color theme="1"/>
        <rFont val="Calibri"/>
        <family val="2"/>
        <scheme val="minor"/>
      </rPr>
      <t>easier!</t>
    </r>
    <r>
      <rPr>
        <sz val="11"/>
        <color theme="1"/>
        <rFont val="Calibri"/>
        <family val="2"/>
        <scheme val="minor"/>
      </rPr>
      <t xml:space="preserve"> Keep an eye on </t>
    </r>
    <r>
      <rPr>
        <b/>
        <sz val="11"/>
        <color theme="1"/>
        <rFont val="Calibri"/>
        <family val="2"/>
        <scheme val="minor"/>
      </rPr>
      <t>nickbolles.com</t>
    </r>
    <r>
      <rPr>
        <sz val="11"/>
        <color theme="1"/>
        <rFont val="Calibri"/>
        <family val="2"/>
        <scheme val="minor"/>
      </rPr>
      <t xml:space="preserve"> for a release near the </t>
    </r>
    <r>
      <rPr>
        <b/>
        <sz val="11"/>
        <color theme="1"/>
        <rFont val="Calibri"/>
        <family val="2"/>
        <scheme val="minor"/>
      </rPr>
      <t>end of 2015!</t>
    </r>
  </si>
  <si>
    <t xml:space="preserve">This is used to determine what year, credit-wise you are. </t>
  </si>
  <si>
    <t>Check your Schools registrar website for this information</t>
  </si>
  <si>
    <t>Summer 2014</t>
  </si>
  <si>
    <t>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</si>
</sst>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000000"/>
      <name val="Inherit"/>
    </font>
    <font>
      <sz val="9"/>
      <color rgb="FF000000"/>
      <name val="Inherit"/>
    </font>
    <font>
      <b/>
      <sz val="15"/>
      <color rgb="FF000000"/>
      <name val="Arial"/>
      <family val="2"/>
    </font>
    <font>
      <sz val="18"/>
      <color theme="3"/>
      <name val="Calibri Light"/>
      <family val="2"/>
      <scheme val="maj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8"/>
      <color theme="3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24"/>
      <color theme="3"/>
      <name val="Calibri Light"/>
      <family val="2"/>
      <scheme val="major"/>
    </font>
    <font>
      <b/>
      <sz val="22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36"/>
      <color theme="3"/>
      <name val="Calibri Light"/>
      <family val="2"/>
      <scheme val="major"/>
    </font>
    <font>
      <b/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FFFFFF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 style="thick">
        <color rgb="FFFFC000"/>
      </right>
      <top/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2" tint="-9.9978637043366805E-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medium">
        <color indexed="64"/>
      </left>
      <right/>
      <top/>
      <bottom/>
      <diagonal/>
    </border>
  </borders>
  <cellStyleXfs count="11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8" borderId="11" applyNumberFormat="0" applyAlignment="0" applyProtection="0"/>
    <xf numFmtId="0" fontId="21" fillId="0" borderId="0" applyNumberFormat="0" applyFill="0" applyBorder="0" applyAlignment="0" applyProtection="0"/>
    <xf numFmtId="0" fontId="4" fillId="9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162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/>
    <xf numFmtId="0" fontId="0" fillId="0" borderId="0" xfId="0" applyNumberFormat="1" applyProtection="1"/>
    <xf numFmtId="0" fontId="1" fillId="0" borderId="0" xfId="0" applyFont="1" applyProtection="1"/>
    <xf numFmtId="0" fontId="0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3" xfId="0" applyBorder="1" applyProtection="1"/>
    <xf numFmtId="0" fontId="1" fillId="0" borderId="7" xfId="0" applyFont="1" applyBorder="1" applyProtection="1"/>
    <xf numFmtId="0" fontId="0" fillId="0" borderId="7" xfId="0" applyBorder="1" applyProtection="1"/>
    <xf numFmtId="164" fontId="1" fillId="0" borderId="7" xfId="0" applyNumberFormat="1" applyFont="1" applyBorder="1" applyProtection="1"/>
    <xf numFmtId="164" fontId="0" fillId="0" borderId="7" xfId="0" applyNumberFormat="1" applyBorder="1" applyProtection="1"/>
    <xf numFmtId="0" fontId="15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0" fillId="0" borderId="0" xfId="0" applyBorder="1" applyProtection="1"/>
    <xf numFmtId="0" fontId="0" fillId="0" borderId="9" xfId="0" applyBorder="1" applyProtection="1">
      <protection locked="0"/>
    </xf>
    <xf numFmtId="0" fontId="1" fillId="0" borderId="9" xfId="0" applyFont="1" applyBorder="1" applyProtection="1">
      <protection locked="0"/>
    </xf>
    <xf numFmtId="0" fontId="0" fillId="0" borderId="0" xfId="0" quotePrefix="1" applyProtection="1">
      <protection locked="0"/>
    </xf>
    <xf numFmtId="0" fontId="0" fillId="0" borderId="0" xfId="0" applyFont="1" applyProtection="1"/>
    <xf numFmtId="0" fontId="3" fillId="0" borderId="0" xfId="0" applyFont="1" applyAlignment="1" applyProtection="1"/>
    <xf numFmtId="0" fontId="0" fillId="0" borderId="0" xfId="0" applyAlignment="1" applyProtection="1"/>
    <xf numFmtId="0" fontId="0" fillId="0" borderId="0" xfId="0" applyFill="1" applyProtection="1"/>
    <xf numFmtId="0" fontId="6" fillId="0" borderId="0" xfId="0" applyFont="1" applyProtection="1"/>
    <xf numFmtId="0" fontId="1" fillId="0" borderId="0" xfId="0" applyNumberFormat="1" applyFont="1" applyProtection="1"/>
    <xf numFmtId="0" fontId="0" fillId="0" borderId="9" xfId="0" applyFont="1" applyBorder="1" applyProtection="1">
      <protection locked="0"/>
    </xf>
    <xf numFmtId="0" fontId="13" fillId="0" borderId="9" xfId="0" applyFont="1" applyBorder="1" applyProtection="1">
      <protection locked="0"/>
    </xf>
    <xf numFmtId="0" fontId="12" fillId="0" borderId="9" xfId="0" applyFont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0" borderId="0" xfId="0" applyAlignment="1" applyProtection="1">
      <alignment horizontal="center"/>
    </xf>
    <xf numFmtId="0" fontId="0" fillId="0" borderId="20" xfId="0" applyBorder="1" applyProtection="1">
      <protection locked="0"/>
    </xf>
    <xf numFmtId="0" fontId="0" fillId="0" borderId="20" xfId="0" applyFont="1" applyBorder="1" applyProtection="1">
      <protection locked="0"/>
    </xf>
    <xf numFmtId="0" fontId="1" fillId="0" borderId="20" xfId="0" applyFont="1" applyBorder="1" applyProtection="1">
      <protection locked="0"/>
    </xf>
    <xf numFmtId="0" fontId="18" fillId="0" borderId="20" xfId="0" applyFont="1" applyBorder="1" applyProtection="1">
      <protection locked="0"/>
    </xf>
    <xf numFmtId="0" fontId="17" fillId="7" borderId="20" xfId="0" applyFont="1" applyFill="1" applyBorder="1" applyAlignment="1" applyProtection="1">
      <alignment vertical="center" wrapText="1"/>
      <protection locked="0"/>
    </xf>
    <xf numFmtId="0" fontId="0" fillId="0" borderId="20" xfId="0" applyBorder="1" applyAlignment="1" applyProtection="1">
      <alignment wrapText="1"/>
      <protection locked="0"/>
    </xf>
    <xf numFmtId="0" fontId="0" fillId="12" borderId="9" xfId="0" applyFont="1" applyFill="1" applyBorder="1" applyProtection="1">
      <protection locked="0"/>
    </xf>
    <xf numFmtId="0" fontId="14" fillId="13" borderId="9" xfId="0" applyFont="1" applyFill="1" applyBorder="1" applyProtection="1">
      <protection locked="0"/>
    </xf>
    <xf numFmtId="0" fontId="6" fillId="0" borderId="0" xfId="0" applyFont="1" applyAlignment="1" applyProtection="1">
      <alignment horizontal="center"/>
    </xf>
    <xf numFmtId="0" fontId="0" fillId="12" borderId="23" xfId="0" applyFont="1" applyFill="1" applyBorder="1" applyProtection="1"/>
    <xf numFmtId="0" fontId="0" fillId="10" borderId="23" xfId="0" applyFont="1" applyFill="1" applyBorder="1" applyProtection="1"/>
    <xf numFmtId="0" fontId="1" fillId="10" borderId="23" xfId="0" applyFont="1" applyFill="1" applyBorder="1" applyProtection="1"/>
    <xf numFmtId="0" fontId="1" fillId="12" borderId="23" xfId="0" applyFont="1" applyFill="1" applyBorder="1" applyProtection="1"/>
    <xf numFmtId="0" fontId="2" fillId="12" borderId="23" xfId="0" applyFont="1" applyFill="1" applyBorder="1" applyProtection="1"/>
    <xf numFmtId="0" fontId="0" fillId="0" borderId="23" xfId="0" applyFont="1" applyBorder="1" applyProtection="1"/>
    <xf numFmtId="0" fontId="1" fillId="0" borderId="32" xfId="0" applyFont="1" applyBorder="1" applyProtection="1"/>
    <xf numFmtId="0" fontId="0" fillId="0" borderId="32" xfId="0" applyBorder="1" applyProtection="1"/>
    <xf numFmtId="164" fontId="1" fillId="0" borderId="32" xfId="0" applyNumberFormat="1" applyFont="1" applyBorder="1" applyProtection="1"/>
    <xf numFmtId="0" fontId="0" fillId="0" borderId="33" xfId="0" applyBorder="1" applyProtection="1"/>
    <xf numFmtId="164" fontId="0" fillId="0" borderId="8" xfId="0" applyNumberFormat="1" applyBorder="1" applyProtection="1"/>
    <xf numFmtId="164" fontId="0" fillId="0" borderId="33" xfId="0" applyNumberFormat="1" applyBorder="1" applyProtection="1"/>
    <xf numFmtId="164" fontId="0" fillId="0" borderId="6" xfId="0" applyNumberFormat="1" applyBorder="1" applyProtection="1"/>
    <xf numFmtId="0" fontId="1" fillId="0" borderId="0" xfId="0" applyFont="1" applyBorder="1" applyProtection="1"/>
    <xf numFmtId="0" fontId="0" fillId="0" borderId="0" xfId="0" applyBorder="1" applyAlignment="1" applyProtection="1"/>
    <xf numFmtId="0" fontId="4" fillId="0" borderId="0" xfId="0" applyFont="1" applyProtection="1"/>
    <xf numFmtId="0" fontId="11" fillId="5" borderId="1" xfId="4" applyFont="1" applyBorder="1" applyAlignment="1" applyProtection="1">
      <alignment horizontal="center" vertical="center"/>
    </xf>
    <xf numFmtId="0" fontId="9" fillId="4" borderId="1" xfId="3" applyFont="1" applyBorder="1" applyAlignment="1" applyProtection="1">
      <alignment horizontal="center"/>
    </xf>
    <xf numFmtId="0" fontId="1" fillId="0" borderId="7" xfId="0" applyNumberFormat="1" applyFont="1" applyBorder="1" applyProtection="1"/>
    <xf numFmtId="0" fontId="9" fillId="4" borderId="1" xfId="3" applyFont="1" applyBorder="1" applyAlignment="1" applyProtection="1">
      <alignment horizontal="center" vertical="center"/>
    </xf>
    <xf numFmtId="0" fontId="0" fillId="0" borderId="34" xfId="0" applyBorder="1" applyAlignment="1" applyProtection="1"/>
    <xf numFmtId="0" fontId="10" fillId="0" borderId="35" xfId="0" applyFont="1" applyBorder="1" applyProtection="1"/>
    <xf numFmtId="0" fontId="10" fillId="0" borderId="23" xfId="0" applyFont="1" applyBorder="1" applyProtection="1"/>
    <xf numFmtId="0" fontId="10" fillId="0" borderId="24" xfId="0" applyFont="1" applyBorder="1" applyProtection="1"/>
    <xf numFmtId="0" fontId="10" fillId="0" borderId="0" xfId="0" applyFont="1" applyProtection="1"/>
    <xf numFmtId="0" fontId="0" fillId="11" borderId="0" xfId="0" applyFill="1" applyProtection="1"/>
    <xf numFmtId="0" fontId="25" fillId="14" borderId="0" xfId="6" applyFont="1" applyFill="1" applyAlignment="1" applyProtection="1">
      <alignment horizontal="center"/>
    </xf>
    <xf numFmtId="0" fontId="23" fillId="14" borderId="0" xfId="10" applyFill="1" applyAlignment="1" applyProtection="1">
      <alignment vertical="center"/>
    </xf>
    <xf numFmtId="0" fontId="0" fillId="14" borderId="0" xfId="0" applyFill="1" applyProtection="1"/>
    <xf numFmtId="0" fontId="0" fillId="14" borderId="16" xfId="0" applyFill="1" applyBorder="1" applyProtection="1"/>
    <xf numFmtId="0" fontId="0" fillId="14" borderId="15" xfId="0" applyFill="1" applyBorder="1" applyProtection="1"/>
    <xf numFmtId="0" fontId="0" fillId="14" borderId="0" xfId="0" applyFill="1" applyBorder="1" applyProtection="1"/>
    <xf numFmtId="0" fontId="22" fillId="14" borderId="15" xfId="6" applyFont="1" applyFill="1" applyBorder="1" applyAlignment="1" applyProtection="1">
      <alignment horizontal="center"/>
    </xf>
    <xf numFmtId="0" fontId="21" fillId="14" borderId="0" xfId="8" applyFill="1" applyBorder="1" applyAlignment="1" applyProtection="1">
      <alignment horizontal="left"/>
    </xf>
    <xf numFmtId="0" fontId="0" fillId="14" borderId="14" xfId="0" applyFill="1" applyBorder="1" applyProtection="1"/>
    <xf numFmtId="0" fontId="0" fillId="14" borderId="13" xfId="0" applyFill="1" applyBorder="1" applyAlignment="1" applyProtection="1">
      <alignment horizontal="center"/>
    </xf>
    <xf numFmtId="0" fontId="0" fillId="14" borderId="13" xfId="0" applyFill="1" applyBorder="1" applyProtection="1"/>
    <xf numFmtId="0" fontId="0" fillId="14" borderId="12" xfId="0" applyFill="1" applyBorder="1" applyProtection="1"/>
    <xf numFmtId="0" fontId="0" fillId="14" borderId="0" xfId="0" applyFill="1" applyBorder="1" applyAlignment="1" applyProtection="1">
      <alignment horizontal="center"/>
    </xf>
    <xf numFmtId="0" fontId="29" fillId="14" borderId="0" xfId="0" applyFont="1" applyFill="1" applyProtection="1"/>
    <xf numFmtId="0" fontId="20" fillId="14" borderId="0" xfId="7" applyFill="1" applyBorder="1" applyAlignment="1" applyProtection="1">
      <alignment horizontal="center"/>
    </xf>
    <xf numFmtId="0" fontId="28" fillId="14" borderId="0" xfId="10" quotePrefix="1" applyFont="1" applyFill="1" applyBorder="1" applyAlignment="1" applyProtection="1"/>
    <xf numFmtId="0" fontId="28" fillId="14" borderId="0" xfId="10" quotePrefix="1" applyFont="1" applyFill="1" applyBorder="1" applyAlignment="1" applyProtection="1">
      <alignment horizontal="center"/>
    </xf>
    <xf numFmtId="0" fontId="23" fillId="14" borderId="0" xfId="10" quotePrefix="1" applyFill="1" applyAlignment="1" applyProtection="1">
      <alignment horizontal="center"/>
    </xf>
    <xf numFmtId="0" fontId="0" fillId="14" borderId="0" xfId="0" applyFill="1" applyAlignment="1" applyProtection="1">
      <alignment horizontal="center"/>
    </xf>
    <xf numFmtId="0" fontId="0" fillId="14" borderId="30" xfId="0" applyFill="1" applyBorder="1" applyProtection="1"/>
    <xf numFmtId="0" fontId="4" fillId="6" borderId="9" xfId="5" applyBorder="1" applyProtection="1">
      <protection locked="0"/>
    </xf>
    <xf numFmtId="0" fontId="30" fillId="14" borderId="0" xfId="7" applyFont="1" applyFill="1" applyBorder="1" applyAlignment="1" applyProtection="1">
      <alignment horizontal="center"/>
    </xf>
    <xf numFmtId="0" fontId="20" fillId="14" borderId="0" xfId="7" applyFill="1" applyBorder="1" applyAlignment="1" applyProtection="1"/>
    <xf numFmtId="0" fontId="20" fillId="11" borderId="0" xfId="7" applyFill="1" applyBorder="1" applyAlignment="1" applyProtection="1"/>
    <xf numFmtId="0" fontId="6" fillId="14" borderId="0" xfId="0" applyFont="1" applyFill="1" applyProtection="1"/>
    <xf numFmtId="0" fontId="32" fillId="14" borderId="0" xfId="0" applyFont="1" applyFill="1" applyAlignment="1" applyProtection="1"/>
    <xf numFmtId="0" fontId="0" fillId="14" borderId="0" xfId="0" applyFill="1" applyAlignment="1" applyProtection="1">
      <alignment vertical="center" wrapText="1"/>
    </xf>
    <xf numFmtId="0" fontId="25" fillId="14" borderId="0" xfId="6" applyFont="1" applyFill="1" applyAlignment="1" applyProtection="1">
      <alignment horizontal="center" wrapText="1"/>
    </xf>
    <xf numFmtId="0" fontId="22" fillId="14" borderId="16" xfId="6" applyFont="1" applyFill="1" applyBorder="1" applyAlignment="1" applyProtection="1">
      <alignment horizontal="center"/>
    </xf>
    <xf numFmtId="0" fontId="6" fillId="0" borderId="9" xfId="0" applyFont="1" applyBorder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 vertical="center"/>
    </xf>
    <xf numFmtId="0" fontId="6" fillId="0" borderId="0" xfId="0" applyFont="1" applyAlignment="1" applyProtection="1">
      <alignment horizontal="center"/>
    </xf>
    <xf numFmtId="0" fontId="34" fillId="10" borderId="0" xfId="0" applyFont="1" applyFill="1" applyProtection="1"/>
    <xf numFmtId="0" fontId="7" fillId="10" borderId="0" xfId="1" applyFont="1" applyFill="1" applyAlignment="1" applyProtection="1"/>
    <xf numFmtId="0" fontId="6" fillId="0" borderId="9" xfId="0" applyFont="1" applyBorder="1" applyAlignment="1" applyProtection="1">
      <alignment horizontal="center"/>
    </xf>
    <xf numFmtId="0" fontId="0" fillId="14" borderId="0" xfId="0" applyFill="1" applyAlignment="1" applyProtection="1">
      <alignment horizontal="left" indent="2"/>
    </xf>
    <xf numFmtId="0" fontId="0" fillId="14" borderId="0" xfId="0" applyFill="1" applyAlignment="1" applyProtection="1"/>
    <xf numFmtId="0" fontId="20" fillId="14" borderId="0" xfId="7" applyFill="1" applyBorder="1" applyAlignment="1" applyProtection="1">
      <alignment horizontal="center"/>
    </xf>
    <xf numFmtId="0" fontId="4" fillId="6" borderId="25" xfId="5" applyBorder="1" applyAlignment="1" applyProtection="1">
      <alignment horizontal="center"/>
    </xf>
    <xf numFmtId="0" fontId="4" fillId="6" borderId="26" xfId="5" applyBorder="1" applyAlignment="1" applyProtection="1">
      <alignment horizontal="center"/>
    </xf>
    <xf numFmtId="0" fontId="4" fillId="6" borderId="27" xfId="5" applyBorder="1" applyAlignment="1" applyProtection="1">
      <alignment horizontal="center"/>
    </xf>
    <xf numFmtId="0" fontId="28" fillId="14" borderId="21" xfId="10" quotePrefix="1" applyFont="1" applyFill="1" applyBorder="1" applyAlignment="1" applyProtection="1">
      <alignment horizontal="center"/>
    </xf>
    <xf numFmtId="0" fontId="28" fillId="14" borderId="31" xfId="10" quotePrefix="1" applyFont="1" applyFill="1" applyBorder="1" applyAlignment="1" applyProtection="1">
      <alignment horizontal="center"/>
    </xf>
    <xf numFmtId="0" fontId="28" fillId="14" borderId="22" xfId="10" quotePrefix="1" applyFont="1" applyFill="1" applyBorder="1" applyAlignment="1" applyProtection="1">
      <alignment horizontal="center"/>
    </xf>
    <xf numFmtId="0" fontId="4" fillId="6" borderId="2" xfId="5" applyBorder="1" applyAlignment="1" applyProtection="1">
      <alignment horizontal="center"/>
    </xf>
    <xf numFmtId="0" fontId="4" fillId="6" borderId="7" xfId="5" applyBorder="1" applyAlignment="1" applyProtection="1">
      <alignment horizontal="center"/>
    </xf>
    <xf numFmtId="0" fontId="4" fillId="6" borderId="8" xfId="5" applyBorder="1" applyAlignment="1" applyProtection="1">
      <alignment horizontal="center"/>
    </xf>
    <xf numFmtId="0" fontId="4" fillId="6" borderId="3" xfId="5" applyBorder="1" applyAlignment="1" applyProtection="1">
      <alignment horizontal="center"/>
    </xf>
    <xf numFmtId="0" fontId="4" fillId="6" borderId="28" xfId="5" applyBorder="1" applyAlignment="1" applyProtection="1">
      <alignment horizontal="center"/>
    </xf>
    <xf numFmtId="0" fontId="4" fillId="6" borderId="4" xfId="5" applyBorder="1" applyAlignment="1" applyProtection="1">
      <alignment horizontal="center"/>
    </xf>
    <xf numFmtId="0" fontId="4" fillId="6" borderId="29" xfId="5" applyBorder="1" applyAlignment="1" applyProtection="1">
      <alignment horizontal="center"/>
    </xf>
    <xf numFmtId="0" fontId="4" fillId="9" borderId="0" xfId="9" applyBorder="1" applyAlignment="1" applyProtection="1">
      <alignment horizontal="center"/>
    </xf>
    <xf numFmtId="0" fontId="4" fillId="9" borderId="10" xfId="9" applyBorder="1" applyAlignment="1" applyProtection="1">
      <alignment horizontal="center"/>
    </xf>
    <xf numFmtId="0" fontId="4" fillId="6" borderId="5" xfId="5" applyBorder="1" applyAlignment="1" applyProtection="1">
      <alignment horizontal="center"/>
    </xf>
    <xf numFmtId="0" fontId="4" fillId="6" borderId="6" xfId="5" applyBorder="1" applyAlignment="1" applyProtection="1">
      <alignment horizontal="center"/>
    </xf>
    <xf numFmtId="0" fontId="27" fillId="14" borderId="19" xfId="0" applyFont="1" applyFill="1" applyBorder="1" applyAlignment="1" applyProtection="1">
      <alignment horizontal="center"/>
    </xf>
    <xf numFmtId="0" fontId="27" fillId="14" borderId="18" xfId="0" applyFont="1" applyFill="1" applyBorder="1" applyAlignment="1" applyProtection="1">
      <alignment horizontal="center"/>
    </xf>
    <xf numFmtId="0" fontId="27" fillId="14" borderId="17" xfId="0" applyFont="1" applyFill="1" applyBorder="1" applyAlignment="1" applyProtection="1">
      <alignment horizontal="center"/>
    </xf>
    <xf numFmtId="0" fontId="22" fillId="14" borderId="16" xfId="6" applyFont="1" applyFill="1" applyBorder="1" applyAlignment="1" applyProtection="1">
      <alignment horizontal="center"/>
    </xf>
    <xf numFmtId="0" fontId="22" fillId="14" borderId="0" xfId="6" applyFont="1" applyFill="1" applyBorder="1" applyAlignment="1" applyProtection="1">
      <alignment horizontal="center"/>
    </xf>
    <xf numFmtId="0" fontId="22" fillId="14" borderId="15" xfId="6" applyFont="1" applyFill="1" applyBorder="1" applyAlignment="1" applyProtection="1">
      <alignment horizontal="center"/>
    </xf>
    <xf numFmtId="0" fontId="4" fillId="6" borderId="21" xfId="5" applyBorder="1" applyAlignment="1" applyProtection="1">
      <alignment horizontal="center"/>
      <protection locked="0"/>
    </xf>
    <xf numFmtId="0" fontId="4" fillId="6" borderId="22" xfId="5" applyBorder="1" applyAlignment="1" applyProtection="1">
      <alignment horizontal="center"/>
      <protection locked="0"/>
    </xf>
    <xf numFmtId="0" fontId="31" fillId="14" borderId="0" xfId="6" applyFont="1" applyFill="1" applyAlignment="1" applyProtection="1">
      <alignment horizontal="center"/>
    </xf>
    <xf numFmtId="0" fontId="0" fillId="14" borderId="0" xfId="0" applyFill="1" applyAlignment="1" applyProtection="1">
      <alignment horizontal="center" vertical="center"/>
    </xf>
    <xf numFmtId="0" fontId="21" fillId="14" borderId="0" xfId="8" applyFill="1" applyBorder="1" applyAlignment="1" applyProtection="1">
      <alignment horizontal="center"/>
    </xf>
    <xf numFmtId="0" fontId="0" fillId="14" borderId="0" xfId="0" applyFill="1" applyAlignment="1" applyProtection="1">
      <alignment horizontal="center" vertical="center" wrapText="1"/>
    </xf>
    <xf numFmtId="0" fontId="10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center" wrapText="1"/>
    </xf>
    <xf numFmtId="0" fontId="10" fillId="0" borderId="4" xfId="0" applyFont="1" applyBorder="1" applyAlignment="1" applyProtection="1">
      <alignment horizontal="center" wrapText="1"/>
    </xf>
    <xf numFmtId="0" fontId="0" fillId="0" borderId="0" xfId="0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16" fillId="7" borderId="20" xfId="0" applyFont="1" applyFill="1" applyBorder="1" applyAlignment="1" applyProtection="1">
      <alignment vertical="center" wrapText="1"/>
      <protection locked="0"/>
    </xf>
    <xf numFmtId="0" fontId="26" fillId="0" borderId="0" xfId="0" applyFont="1" applyAlignment="1" applyProtection="1">
      <alignment horizontal="center"/>
    </xf>
    <xf numFmtId="0" fontId="10" fillId="0" borderId="4" xfId="0" applyFont="1" applyBorder="1" applyAlignment="1" applyProtection="1">
      <alignment horizontal="center"/>
    </xf>
    <xf numFmtId="0" fontId="5" fillId="3" borderId="21" xfId="2" applyFont="1" applyBorder="1" applyAlignment="1" applyProtection="1">
      <alignment horizontal="center"/>
      <protection locked="0"/>
    </xf>
    <xf numFmtId="0" fontId="5" fillId="3" borderId="31" xfId="2" applyFont="1" applyBorder="1" applyAlignment="1" applyProtection="1">
      <alignment horizontal="center"/>
      <protection locked="0"/>
    </xf>
    <xf numFmtId="0" fontId="5" fillId="3" borderId="22" xfId="2" applyFont="1" applyBorder="1" applyAlignment="1" applyProtection="1">
      <alignment horizontal="center"/>
      <protection locked="0"/>
    </xf>
    <xf numFmtId="0" fontId="5" fillId="2" borderId="21" xfId="1" applyFont="1" applyBorder="1" applyAlignment="1" applyProtection="1">
      <alignment horizontal="center"/>
      <protection locked="0"/>
    </xf>
    <xf numFmtId="0" fontId="5" fillId="2" borderId="31" xfId="1" applyFont="1" applyBorder="1" applyAlignment="1" applyProtection="1">
      <alignment horizontal="center"/>
      <protection locked="0"/>
    </xf>
    <xf numFmtId="0" fontId="5" fillId="2" borderId="22" xfId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 textRotation="90"/>
    </xf>
    <xf numFmtId="0" fontId="6" fillId="0" borderId="0" xfId="0" applyFont="1" applyAlignment="1" applyProtection="1">
      <alignment horizontal="center"/>
    </xf>
    <xf numFmtId="0" fontId="5" fillId="3" borderId="36" xfId="2" applyFont="1" applyBorder="1" applyAlignment="1" applyProtection="1">
      <alignment horizontal="center"/>
    </xf>
    <xf numFmtId="0" fontId="5" fillId="3" borderId="0" xfId="2" applyFont="1" applyAlignment="1" applyProtection="1">
      <alignment horizontal="center"/>
    </xf>
    <xf numFmtId="0" fontId="5" fillId="2" borderId="36" xfId="1" applyFont="1" applyBorder="1" applyAlignment="1" applyProtection="1">
      <alignment horizontal="center"/>
    </xf>
    <xf numFmtId="0" fontId="5" fillId="2" borderId="0" xfId="1" applyFont="1" applyAlignment="1" applyProtection="1">
      <alignment horizontal="center"/>
    </xf>
    <xf numFmtId="0" fontId="8" fillId="6" borderId="21" xfId="5" applyFont="1" applyBorder="1" applyAlignment="1" applyProtection="1">
      <alignment horizontal="center"/>
      <protection locked="0"/>
    </xf>
    <xf numFmtId="0" fontId="8" fillId="6" borderId="31" xfId="5" applyFont="1" applyBorder="1" applyAlignment="1" applyProtection="1">
      <alignment horizontal="center"/>
      <protection locked="0"/>
    </xf>
    <xf numFmtId="0" fontId="8" fillId="6" borderId="22" xfId="5" applyFont="1" applyBorder="1" applyAlignment="1" applyProtection="1">
      <alignment horizontal="center"/>
      <protection locked="0"/>
    </xf>
    <xf numFmtId="0" fontId="8" fillId="4" borderId="21" xfId="3" applyFont="1" applyBorder="1" applyAlignment="1" applyProtection="1">
      <alignment horizontal="center"/>
      <protection locked="0"/>
    </xf>
    <xf numFmtId="0" fontId="8" fillId="4" borderId="31" xfId="3" applyFont="1" applyBorder="1" applyAlignment="1" applyProtection="1">
      <alignment horizontal="center"/>
      <protection locked="0"/>
    </xf>
    <xf numFmtId="0" fontId="8" fillId="4" borderId="22" xfId="3" applyFont="1" applyBorder="1" applyAlignment="1" applyProtection="1">
      <alignment horizontal="center"/>
      <protection locked="0"/>
    </xf>
    <xf numFmtId="0" fontId="8" fillId="4" borderId="36" xfId="3" applyFont="1" applyBorder="1" applyAlignment="1" applyProtection="1">
      <alignment horizontal="center"/>
    </xf>
    <xf numFmtId="0" fontId="8" fillId="4" borderId="0" xfId="3" applyFont="1" applyAlignment="1" applyProtection="1">
      <alignment horizontal="center"/>
    </xf>
    <xf numFmtId="0" fontId="8" fillId="6" borderId="36" xfId="5" applyFont="1" applyBorder="1" applyAlignment="1" applyProtection="1">
      <alignment horizontal="center"/>
    </xf>
    <xf numFmtId="0" fontId="8" fillId="6" borderId="0" xfId="5" applyFont="1" applyAlignment="1" applyProtection="1">
      <alignment horizontal="center"/>
    </xf>
  </cellXfs>
  <cellStyles count="11">
    <cellStyle name="60% - Accent4" xfId="4" builtinId="44"/>
    <cellStyle name="60% - Accent6" xfId="9" builtinId="52"/>
    <cellStyle name="Accent1" xfId="1" builtinId="29"/>
    <cellStyle name="Accent2" xfId="2" builtinId="33"/>
    <cellStyle name="Accent4" xfId="3" builtinId="41"/>
    <cellStyle name="Accent6" xfId="5" builtinId="49"/>
    <cellStyle name="Calculation" xfId="7" builtinId="22"/>
    <cellStyle name="Explanatory Text" xfId="8" builtinId="53"/>
    <cellStyle name="Hyperlink" xfId="10" builtinId="8"/>
    <cellStyle name="Normal" xfId="0" builtinId="0"/>
    <cellStyle name="Title" xfId="6" builtinId="15"/>
  </cellStyles>
  <dxfs count="6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0.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numFmt numFmtId="164" formatCode="0.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2" tint="-9.9978637043366805E-2"/>
        </left>
        <right/>
        <top style="thin">
          <color auto="1"/>
        </top>
        <bottom style="thin">
          <color auto="1"/>
        </bottom>
      </border>
      <protection locked="1" hidden="0"/>
    </dxf>
    <dxf>
      <protection locked="1" hidden="0"/>
    </dxf>
    <dxf>
      <protection locked="1" hidden="0"/>
    </dxf>
    <dxf>
      <numFmt numFmtId="164" formatCode="0.0"/>
      <border diagonalUp="0" diagonalDown="0" outline="0">
        <left/>
        <right style="thin">
          <color indexed="64"/>
        </right>
        <top/>
        <bottom/>
      </border>
      <protection locked="1" hidden="0"/>
    </dxf>
    <dxf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font>
        <color rgb="FF006100"/>
      </font>
      <fill>
        <patternFill>
          <bgColor rgb="FFC6EF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border>
        <left style="thin">
          <color rgb="FF006600"/>
        </left>
        <right style="thin">
          <color rgb="FF006600"/>
        </right>
        <top style="thin">
          <color rgb="FF006600"/>
        </top>
        <bottom style="thin">
          <color rgb="FF006600"/>
        </bottom>
        <vertical/>
        <horizontal/>
      </border>
    </dxf>
    <dxf>
      <border>
        <left style="thin">
          <color rgb="FF0000FF"/>
        </left>
        <right style="thin">
          <color rgb="FF0000FF"/>
        </right>
        <top style="thin">
          <color rgb="FF0000FF"/>
        </top>
        <bottom style="thin">
          <color rgb="FF0000FF"/>
        </bottom>
        <vertical/>
        <horizontal/>
      </border>
    </dxf>
    <dxf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font>
        <strike val="0"/>
        <color theme="9"/>
      </font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  <color rgb="FF006600"/>
      <color rgb="FF0000FF"/>
      <color rgb="FFD60093"/>
      <color rgb="FFCC0000"/>
      <color rgb="FFFF9900"/>
      <color rgb="FF132F49"/>
      <color rgb="FF1F4E79"/>
      <color rgb="FF0033CC"/>
      <color rgb="FF35A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44" name="COURSELIST" displayName="COURSELIST" ref="A1:J63" totalsRowCount="1" headerRowDxfId="460" dataDxfId="459" totalsRowDxfId="458">
  <autoFilter ref="A1:J62"/>
  <sortState ref="A2:J62">
    <sortCondition ref="A1:A62"/>
  </sortState>
  <tableColumns count="10">
    <tableColumn id="1" name="Course Name" dataDxfId="457" totalsRowDxfId="456"/>
    <tableColumn id="2" name="Course Description" dataDxfId="455" totalsRowDxfId="454"/>
    <tableColumn id="3" name="Major" totalsRowLabel="Total Credits" dataDxfId="453" totalsRowDxfId="452"/>
    <tableColumn id="4" name="Credits" totalsRowFunction="sum" dataDxfId="451" totalsRowDxfId="450"/>
    <tableColumn id="5" name="Semester Taken" dataDxfId="449" totalsRowDxfId="448"/>
    <tableColumn id="6" name="Enrolled" totalsRowLabel="Completed" dataDxfId="447" totalsRowDxfId="446"/>
    <tableColumn id="9" name="Complete" totalsRowFunction="custom" dataDxfId="445" totalsRowDxfId="444">
      <totalsRowFormula>COUNTIFS(COURSELIST[Complete],"Y",COURSELIST[Complete],"y")</totalsRowFormula>
    </tableColumn>
    <tableColumn id="10" name="Grade Points" totalsRowFunction="sum" dataDxfId="443" totalsRowDxfId="442"/>
    <tableColumn id="8" name="Notes" dataDxfId="441" totalsRowDxfId="440"/>
    <tableColumn id="7" name="Counter" dataDxfId="439" totalsRowDxfId="438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46" name="Table16182047" displayName="Table16182047" ref="M27:R33" totalsRowShown="0" headerRowDxfId="437" dataDxfId="436">
  <autoFilter ref="M27:R33"/>
  <tableColumns count="6">
    <tableColumn id="1" name="GP can lose" dataDxfId="435">
      <calculatedColumnFormula>N10-$M$23</calculatedColumnFormula>
    </tableColumn>
    <tableColumn id="6" name="A-'s" dataDxfId="434">
      <calculatedColumnFormula>Table16182047[[#This Row],[GP can lose]]/$M$39</calculatedColumnFormula>
    </tableColumn>
    <tableColumn id="7" name="B's" dataDxfId="433">
      <calculatedColumnFormula>Table16182047[[#This Row],[GP can lose]]/$M$40</calculatedColumnFormula>
    </tableColumn>
    <tableColumn id="8" name="C's" dataDxfId="432">
      <calculatedColumnFormula>Table16182047[[#This Row],[GP can lose]]/$M$41</calculatedColumnFormula>
    </tableColumn>
    <tableColumn id="2" name="D's" dataDxfId="431">
      <calculatedColumnFormula>Table16182047[[#This Row],[GP can lose]]/$M$42</calculatedColumnFormula>
    </tableColumn>
    <tableColumn id="3" name="F's" dataDxfId="430">
      <calculatedColumnFormula>Table16182047[[#This Row],[GP can lose]]/$M$43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2" name="Table1619463" displayName="Table1619463" ref="M9:R15" totalsRowShown="0" headerRowDxfId="429" dataDxfId="428">
  <autoFilter ref="M9:R15"/>
  <tableColumns count="6">
    <tableColumn id="1" name="Grade Points" dataDxfId="427">
      <calculatedColumnFormula>$O$3*L10</calculatedColumnFormula>
    </tableColumn>
    <tableColumn id="2" name="To be lost" dataDxfId="426">
      <calculatedColumnFormula>$M$10-M10</calculatedColumnFormula>
    </tableColumn>
    <tableColumn id="3" name="A-'s" dataDxfId="425">
      <calculatedColumnFormula>$N10/$M$39</calculatedColumnFormula>
    </tableColumn>
    <tableColumn id="4" name="B's" dataDxfId="424">
      <calculatedColumnFormula>$N10/$M$40</calculatedColumnFormula>
    </tableColumn>
    <tableColumn id="5" name="C's" dataDxfId="423">
      <calculatedColumnFormula>$N10/$M$41</calculatedColumnFormula>
    </tableColumn>
    <tableColumn id="6" name="D's" dataDxfId="422">
      <calculatedColumnFormula>$N10/$M$42</calculatedColumnFormula>
    </tableColumn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20" name="Table32221" displayName="Table32221" ref="C46:J53" totalsRowShown="0" headerRowDxfId="199" dataDxfId="198">
  <autoFilter ref="C46:J53"/>
  <tableColumns count="8">
    <tableColumn id="1" name="Course" dataDxfId="19"/>
    <tableColumn id="2" name="Name" dataDxfId="197">
      <calculatedColumnFormula>IF(Table32221[[#This Row],[Course]]= "","",IFERROR(VLOOKUP(Table32221[[#This Row],[Course]],COURSELIST[],2,FALSE),"Course Not Found!"))</calculatedColumnFormula>
    </tableColumn>
    <tableColumn id="3" name="Degree" dataDxfId="196">
      <calculatedColumnFormula>IF(Table32221[[#This Row],[Course]]= "","",IFERROR(VLOOKUP(Table32221[[#This Row],[Course]],COURSELIST[],3,FALSE),""))</calculatedColumnFormula>
    </tableColumn>
    <tableColumn id="4" name="Credits" dataDxfId="195">
      <calculatedColumnFormula>IF(Table32221[[#This Row],[Course]]= "","",IFERROR(VLOOKUP(Table32221[[#This Row],[Course]],COURSELIST[],4,FALSE),""))</calculatedColumnFormula>
    </tableColumn>
    <tableColumn id="5" name=" " dataDxfId="194"/>
    <tableColumn id="6" name="Enrolled" dataDxfId="193">
      <calculatedColumnFormula>IF(Table32221[[#This Row],[Course]]= "","",IFERROR(VLOOKUP(Table32221[[#This Row],[Course]],COURSELIST[],6,FALSE),""))</calculatedColumnFormula>
    </tableColumn>
    <tableColumn id="7" name="Completed" dataDxfId="192">
      <calculatedColumnFormula>IF(Table32221[[#This Row],[Course]]= "","",IFERROR(VLOOKUP(Table32221[[#This Row],[Course]],COURSELIST[],7,FALSE),""))</calculatedColumnFormula>
    </tableColumn>
    <tableColumn id="8" name="GradePoints" dataDxfId="191">
      <calculatedColumnFormula>IF(Table32221[[#This Row],[Course]]= "","",IFERROR(VLOOKUP(Table32221[[#This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id="33" name="Table42334" displayName="Table42334" ref="C32:J39" totalsRowShown="0" headerRowDxfId="190" dataDxfId="189">
  <autoFilter ref="C32:J39"/>
  <tableColumns count="8">
    <tableColumn id="1" name="Course" dataDxfId="18"/>
    <tableColumn id="2" name="Name" dataDxfId="188">
      <calculatedColumnFormula>IF(Table42334[[#This Row],[Course]]= "","",IFERROR(VLOOKUP(Table42334[[#This Row],[Course]],COURSELIST[],2,FALSE),"Course Not Found!"))</calculatedColumnFormula>
    </tableColumn>
    <tableColumn id="3" name="Degree" dataDxfId="187">
      <calculatedColumnFormula>IF(Table42334[[#This Row],[Course]]= "","",IFERROR(VLOOKUP(Table42334[[#This Row],[Course]],COURSELIST[],3,FALSE),""))</calculatedColumnFormula>
    </tableColumn>
    <tableColumn id="4" name="Credits" dataDxfId="186">
      <calculatedColumnFormula>IF(Table42334[[#This Row],[Course]]= "","",IFERROR(VLOOKUP(Table42334[[#This Row],[Course]],COURSELIST[],4,FALSE),""))</calculatedColumnFormula>
    </tableColumn>
    <tableColumn id="5" name=" " dataDxfId="185"/>
    <tableColumn id="6" name="Enrolled" dataDxfId="184">
      <calculatedColumnFormula>IF(Table42334[[#This Row],[Course]]= "","",IFERROR(VLOOKUP(Table42334[[#This Row],[Course]],COURSELIST[],6,FALSE),""))</calculatedColumnFormula>
    </tableColumn>
    <tableColumn id="7" name="Completed" dataDxfId="183">
      <calculatedColumnFormula>IF(Table42334[[#This Row],[Course]]= "","",IFERROR(VLOOKUP(Table42334[[#This Row],[Course]],COURSELIST[],7,FALSE),""))</calculatedColumnFormula>
    </tableColumn>
    <tableColumn id="8" name="GradePoints" dataDxfId="182">
      <calculatedColumnFormula>IF(Table42334[[#This Row],[Course]]= "","",IFERROR(VLOOKUP(Table42334[[#This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id="34" name="Table52435" displayName="Table52435" ref="C18:J25" totalsRowShown="0" headerRowDxfId="181" dataDxfId="180">
  <autoFilter ref="C18:J25"/>
  <tableColumns count="8">
    <tableColumn id="1" name="Course" dataDxfId="17"/>
    <tableColumn id="2" name="Name" dataDxfId="179">
      <calculatedColumnFormula>IF(Table52435[[#This Row],[Course]]= "","",IFERROR(VLOOKUP(Table52435[[#This Row],[Course]],COURSELIST[],2,FALSE),"Course Not Found!"))</calculatedColumnFormula>
    </tableColumn>
    <tableColumn id="3" name="Degree" dataDxfId="178">
      <calculatedColumnFormula>IF(Table52435[[#This Row],[Course]]= "","",IFERROR(VLOOKUP(Table52435[[#This Row],[Course]],COURSELIST[],3,FALSE),""))</calculatedColumnFormula>
    </tableColumn>
    <tableColumn id="4" name="Credits" dataDxfId="177">
      <calculatedColumnFormula>IF(Table52435[[#This Row],[Course]]= "","",IFERROR(VLOOKUP(Table52435[[#This Row],[Course]],COURSELIST[],4,FALSE),""))</calculatedColumnFormula>
    </tableColumn>
    <tableColumn id="5" name=" " dataDxfId="176"/>
    <tableColumn id="6" name="Enrolled" dataDxfId="175">
      <calculatedColumnFormula>IF(Table52435[[#This Row],[Course]]= "","",IFERROR(VLOOKUP(Table52435[[#This Row],[Course]],COURSELIST[],6,FALSE),""))</calculatedColumnFormula>
    </tableColumn>
    <tableColumn id="7" name="Completed" dataDxfId="174">
      <calculatedColumnFormula>IF(Table52435[[#This Row],[Course]]= "","",IFERROR(VLOOKUP(Table52435[[#This Row],[Course]],COURSELIST[],7,FALSE),""))</calculatedColumnFormula>
    </tableColumn>
    <tableColumn id="8" name="GradePoints" dataDxfId="173">
      <calculatedColumnFormula>IF(Table52435[[#This Row],[Course]]= "","",IFERROR(VLOOKUP(Table52435[[#This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id="35" name="CSMINORFALL201336" displayName="CSMINORFALL201336" ref="C3:J10" totalsRowShown="0" headerRowDxfId="172" dataDxfId="171">
  <autoFilter ref="C3:J10"/>
  <tableColumns count="8">
    <tableColumn id="1" name="Course" dataDxfId="16"/>
    <tableColumn id="2" name="Name" dataDxfId="170">
      <calculatedColumnFormula>IF(CSMINORFALL201336[[#This Row],[Course]]= "","",IFERROR(VLOOKUP(CSMINORFALL201336[[#This Row],[Course]],COURSELIST[],2,FALSE),"Course Not Found!"))</calculatedColumnFormula>
    </tableColumn>
    <tableColumn id="3" name="Degree" dataDxfId="169">
      <calculatedColumnFormula>IF(CSMINORFALL201336[[#This Row],[Course]]= "","",IFERROR(VLOOKUP(CSMINORFALL201336[[#This Row],[Course]],COURSELIST[],3,FALSE),""))</calculatedColumnFormula>
    </tableColumn>
    <tableColumn id="4" name="Credits" dataDxfId="168">
      <calculatedColumnFormula>IF(CSMINORFALL201336[[#This Row],[Course]]= "","",IFERROR(VLOOKUP(CSMINORFALL201336[[#This Row],[Course]],COURSELIST[],4,FALSE),""))</calculatedColumnFormula>
    </tableColumn>
    <tableColumn id="5" name=" " dataDxfId="167"/>
    <tableColumn id="6" name="Enrolled" dataDxfId="166">
      <calculatedColumnFormula>IF(CSMINORFALL201336[[#This Row],[Course]]= "","",IFERROR(VLOOKUP(CSMINORFALL201336[[#This Row],[Course]],COURSELIST[],6,FALSE),""))</calculatedColumnFormula>
    </tableColumn>
    <tableColumn id="7" name="Completed" dataDxfId="165">
      <calculatedColumnFormula>IF(CSMINORFALL201336[[#This Row],[Course]]= "","",IFERROR(VLOOKUP(CSMINORFALL201336[[#This Row],[Course]],COURSELIST[],7,FALSE),""))</calculatedColumnFormula>
    </tableColumn>
    <tableColumn id="8" name="GradePoints" dataDxfId="164">
      <calculatedColumnFormula>IF(CSMINORFALL201336[[#This Row],[Course]]= "","",IFERROR(VLOOKUP(CSMINORFALL201336[[#This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id="36" name="Table72637" displayName="Table72637" ref="W18:AD25" totalsRowShown="0" headerRowDxfId="163" dataDxfId="162">
  <autoFilter ref="W18:AD25"/>
  <tableColumns count="8">
    <tableColumn id="1" name="Course" dataDxfId="15"/>
    <tableColumn id="2" name="Name" dataDxfId="161">
      <calculatedColumnFormula>IF(Table72637[[#This Row],[Course]]= "","",IFERROR(VLOOKUP(Table72637[[#This Row],[Course]],COURSELIST[],2,FALSE),"Course Not Found!"))</calculatedColumnFormula>
    </tableColumn>
    <tableColumn id="3" name="Degree" dataDxfId="160">
      <calculatedColumnFormula>IF(Table72637[[#This Row],[Course]]= "","",IFERROR(VLOOKUP(Table72637[[#This Row],[Course]],COURSELIST[],3,FALSE),""))</calculatedColumnFormula>
    </tableColumn>
    <tableColumn id="4" name="Credits" dataDxfId="159">
      <calculatedColumnFormula>IF(Table72637[[#This Row],[Course]]= "","",IFERROR(VLOOKUP(Table72637[[#This Row],[Course]],COURSELIST[],4,FALSE),""))</calculatedColumnFormula>
    </tableColumn>
    <tableColumn id="5" name=" " dataDxfId="158"/>
    <tableColumn id="6" name="Enrolled" dataDxfId="157">
      <calculatedColumnFormula>IF(Table72637[[#This Row],[Course]]= "","",IFERROR(VLOOKUP(Table72637[[#This Row],[Course]],COURSELIST[],6,FALSE),""))</calculatedColumnFormula>
    </tableColumn>
    <tableColumn id="7" name="Completed" dataDxfId="156">
      <calculatedColumnFormula>IF(Table72637[[#This Row],[Course]]= "","",IFERROR(VLOOKUP(Table72637[[#This Row],[Course]],COURSELIST[],7,FALSE),""))</calculatedColumnFormula>
    </tableColumn>
    <tableColumn id="8" name="GradePoints" dataDxfId="155">
      <calculatedColumnFormula>IF(Table72637[[#This Row],[Course]]= "","",IFERROR(VLOOKUP(Table72637[[#This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9.xml><?xml version="1.0" encoding="utf-8"?>
<table xmlns="http://schemas.openxmlformats.org/spreadsheetml/2006/main" id="37" name="Table82738" displayName="Table82738" ref="W32:AD39" totalsRowShown="0" headerRowDxfId="154" dataDxfId="153">
  <autoFilter ref="W32:AD39"/>
  <tableColumns count="8">
    <tableColumn id="1" name="Course" dataDxfId="14"/>
    <tableColumn id="2" name="Name" dataDxfId="152">
      <calculatedColumnFormula>IF(Table82738[[#This Row],[Course]]= "","",IFERROR(VLOOKUP(Table82738[[#This Row],[Course]],COURSELIST[],2,FALSE),"Course Not Found!"))</calculatedColumnFormula>
    </tableColumn>
    <tableColumn id="3" name="Degree" dataDxfId="151">
      <calculatedColumnFormula>IF(Table82738[[#This Row],[Course]]= "","",IFERROR(VLOOKUP(Table82738[[#This Row],[Course]],COURSELIST[],3,FALSE),""))</calculatedColumnFormula>
    </tableColumn>
    <tableColumn id="4" name="Credits" dataDxfId="150">
      <calculatedColumnFormula>IF(Table82738[[#This Row],[Course]]= "","",IFERROR(VLOOKUP(Table82738[[#This Row],[Course]],COURSELIST[],4,FALSE),""))</calculatedColumnFormula>
    </tableColumn>
    <tableColumn id="5" name=" " dataDxfId="149"/>
    <tableColumn id="6" name="Enrolled" dataDxfId="148">
      <calculatedColumnFormula>IF(Table82738[[#This Row],[Course]]= "","",IFERROR(VLOOKUP(Table82738[[#This Row],[Course]],COURSELIST[],6,FALSE),""))</calculatedColumnFormula>
    </tableColumn>
    <tableColumn id="7" name="Completed" dataDxfId="147">
      <calculatedColumnFormula>IF(Table82738[[#This Row],[Course]]= "","",IFERROR(VLOOKUP(Table82738[[#This Row],[Course]],COURSELIST[],7,FALSE),""))</calculatedColumnFormula>
    </tableColumn>
    <tableColumn id="8" name="GradePoints" dataDxfId="146">
      <calculatedColumnFormula>IF(Table82738[[#This Row],[Course]]= "","",IFERROR(VLOOKUP(Table82738[[#This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id="38" name="Table92839" displayName="Table92839" ref="W46:AD53" totalsRowShown="0" headerRowDxfId="145" dataDxfId="144">
  <autoFilter ref="W46:AD53"/>
  <tableColumns count="8">
    <tableColumn id="1" name="Course" dataDxfId="13"/>
    <tableColumn id="2" name="Name" dataDxfId="143">
      <calculatedColumnFormula>IF(Table92839[[#This Row],[Course]]= "","",IFERROR(VLOOKUP(Table92839[[#This Row],[Course]],COURSELIST[],2,FALSE),"Course Not Found!"))</calculatedColumnFormula>
    </tableColumn>
    <tableColumn id="3" name="Degree" dataDxfId="142">
      <calculatedColumnFormula>IF(Table92839[[#This Row],[Course]]= "","",IFERROR(VLOOKUP(Table92839[[#This Row],[Course]],COURSELIST[],3,FALSE),""))</calculatedColumnFormula>
    </tableColumn>
    <tableColumn id="4" name="Credits" dataDxfId="141">
      <calculatedColumnFormula>IF(Table92839[[#This Row],[Course]]= "","",IFERROR(VLOOKUP(Table92839[[#This Row],[Course]],COURSELIST[],4,FALSE),""))</calculatedColumnFormula>
    </tableColumn>
    <tableColumn id="5" name=" " dataDxfId="140"/>
    <tableColumn id="6" name="Enrolled" dataDxfId="139">
      <calculatedColumnFormula>IF(Table92839[[#This Row],[Course]]= "","",IFERROR(VLOOKUP(Table92839[[#This Row],[Course]],COURSELIST[],6,FALSE),""))</calculatedColumnFormula>
    </tableColumn>
    <tableColumn id="7" name="Completed" dataDxfId="138">
      <calculatedColumnFormula>IF(Table92839[[#This Row],[Course]]= "","",IFERROR(VLOOKUP(Table92839[[#This Row],[Course]],COURSELIST[],7,FALSE),""))</calculatedColumnFormula>
    </tableColumn>
    <tableColumn id="8" name="GradePoints" dataDxfId="137">
      <calculatedColumnFormula>IF(Table92839[[#This Row],[Course]]= "","",IFERROR(VLOOKUP(Table92839[[#This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1.xml><?xml version="1.0" encoding="utf-8"?>
<table xmlns="http://schemas.openxmlformats.org/spreadsheetml/2006/main" id="39" name="Table102940" displayName="Table102940" ref="W3:AD10" totalsRowShown="0" headerRowDxfId="136" dataDxfId="135">
  <autoFilter ref="W3:AD10"/>
  <tableColumns count="8">
    <tableColumn id="1" name="Course" dataDxfId="12"/>
    <tableColumn id="2" name="Name" dataDxfId="134">
      <calculatedColumnFormula>IF(Table102940[[#This Row],[Course]]= "","",IFERROR(VLOOKUP(Table102940[[#This Row],[Course]],COURSELIST[],2,FALSE), "Class Not Found!"))</calculatedColumnFormula>
    </tableColumn>
    <tableColumn id="3" name="Degree" dataDxfId="133">
      <calculatedColumnFormula>IF(Table102940[[#This Row],[Course]]= "","",IFERROR(VLOOKUP(Table102940[[#This Row],[Course]],COURSELIST[],3,FALSE),""))</calculatedColumnFormula>
    </tableColumn>
    <tableColumn id="4" name="Credits" dataDxfId="132">
      <calculatedColumnFormula>IF(Table102940[[#This Row],[Course]]= "","",IFERROR(VLOOKUP(Table102940[[#This Row],[Course]],COURSELIST[],4,FALSE),""))</calculatedColumnFormula>
    </tableColumn>
    <tableColumn id="5" name=" " dataDxfId="131"/>
    <tableColumn id="6" name="Enrolled" dataDxfId="130">
      <calculatedColumnFormula>IF(Table102940[[#This Row],[Course]]= "","",IFERROR(VLOOKUP(Table102940[[#This Row],[Course]],COURSELIST[],6,FALSE),""))</calculatedColumnFormula>
    </tableColumn>
    <tableColumn id="7" name="Completed" dataDxfId="129">
      <calculatedColumnFormula>IF(Table102940[[#This Row],[Course]]= "","",IFERROR(VLOOKUP(Table102940[[#This Row],[Course]],COURSELIST[],7,FALSE),""))</calculatedColumnFormula>
    </tableColumn>
    <tableColumn id="8" name="GradePoints" dataDxfId="128">
      <calculatedColumnFormula>IF(Table102940[[#This Row],[Course]]= "","",IFERROR(VLOOKUP(Table102940[[#This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2.xml><?xml version="1.0" encoding="utf-8"?>
<table xmlns="http://schemas.openxmlformats.org/spreadsheetml/2006/main" id="40" name="CSMINORWINTERIM201441" displayName="CSMINORWINTERIM201441" ref="M3:T10" totalsRowShown="0" headerRowDxfId="127" dataDxfId="126">
  <autoFilter ref="M3:T10"/>
  <tableColumns count="8">
    <tableColumn id="1" name="Course" dataDxfId="11"/>
    <tableColumn id="2" name="Name" dataDxfId="125">
      <calculatedColumnFormula>IF(CSMINORWINTERIM201441[[#This Row],[Course]]= "","",IFERROR(VLOOKUP(CSMINORWINTERIM201441[[#This Row],[Course]],COURSELIST[],2,FALSE), "Class Not Found!"))</calculatedColumnFormula>
    </tableColumn>
    <tableColumn id="3" name="Degree" dataDxfId="124">
      <calculatedColumnFormula>IF(CSMINORWINTERIM201441[[#This Row],[Course]]= "","",IFERROR(VLOOKUP(CSMINORWINTERIM201441[[#This Row],[Course]],COURSELIST[],3,FALSE),""))</calculatedColumnFormula>
    </tableColumn>
    <tableColumn id="4" name="Credits" dataDxfId="123">
      <calculatedColumnFormula>IF(CSMINORWINTERIM201441[[#This Row],[Course]]= "","",IFERROR(VLOOKUP(CSMINORWINTERIM201441[[#This Row],[Course]],COURSELIST[],4,FALSE),""))</calculatedColumnFormula>
    </tableColumn>
    <tableColumn id="5" name=" " dataDxfId="122"/>
    <tableColumn id="6" name="Enrolled" dataDxfId="121">
      <calculatedColumnFormula>IF(CSMINORWINTERIM201441[[#This Row],[Course]]= "","",IFERROR(VLOOKUP(CSMINORWINTERIM201441[[#This Row],[Course]],COURSELIST[],6,FALSE),""))</calculatedColumnFormula>
    </tableColumn>
    <tableColumn id="7" name="Completed" dataDxfId="120">
      <calculatedColumnFormula>IF(CSMINORWINTERIM201441[[#This Row],[Course]]= "","",IFERROR(VLOOKUP(CSMINORWINTERIM201441[[#This Row],[Course]],COURSELIST[],7,FALSE),""))</calculatedColumnFormula>
    </tableColumn>
    <tableColumn id="8" name="GradePoints" dataDxfId="119">
      <calculatedColumnFormula>IF(CSMINORWINTERIM201441[[#This Row],[Course]]= "","",IFERROR(VLOOKUP(CSMINORWINTERIM201441[[#This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41" name="Table123142" displayName="Table123142" ref="M18:T25" totalsRowShown="0" headerRowDxfId="118" dataDxfId="117">
  <autoFilter ref="M18:T25"/>
  <tableColumns count="8">
    <tableColumn id="1" name="Course" dataDxfId="10"/>
    <tableColumn id="2" name="Name" dataDxfId="116">
      <calculatedColumnFormula>IF(Table123142[[#This Row],[Course]]= "","",IFERROR(VLOOKUP(Table123142[[#This Row],[Course]],COURSELIST[],2,FALSE),"Course Not Found!"))</calculatedColumnFormula>
    </tableColumn>
    <tableColumn id="3" name="Degree" dataDxfId="115">
      <calculatedColumnFormula>IF(Table123142[[#This Row],[Course]]= "","",IFERROR(VLOOKUP(Table123142[[#This Row],[Course]],COURSELIST[],3,FALSE),""))</calculatedColumnFormula>
    </tableColumn>
    <tableColumn id="4" name="Credits" dataDxfId="114">
      <calculatedColumnFormula>IF(Table123142[[#This Row],[Course]]= "","",IFERROR(VLOOKUP(Table123142[[#This Row],[Course]],COURSELIST[],4,FALSE),""))</calculatedColumnFormula>
    </tableColumn>
    <tableColumn id="5" name=" " dataDxfId="113"/>
    <tableColumn id="6" name="Enrolled" dataDxfId="112">
      <calculatedColumnFormula>IF(Table123142[[#This Row],[Course]]= "","",IFERROR(VLOOKUP(Table123142[[#This Row],[Course]],COURSELIST[],6,FALSE),""))</calculatedColumnFormula>
    </tableColumn>
    <tableColumn id="7" name="Completed" dataDxfId="111">
      <calculatedColumnFormula>IF(Table123142[[#This Row],[Course]]= "","",IFERROR(VLOOKUP(Table123142[[#This Row],[Course]],COURSELIST[],7,FALSE),""))</calculatedColumnFormula>
    </tableColumn>
    <tableColumn id="8" name="GradePoints" dataDxfId="110">
      <calculatedColumnFormula>IF(Table123142[[#This Row],[Course]]= "","",IFERROR(VLOOKUP(Table123142[[#This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42" name="Table133243" displayName="Table133243" ref="M32:T39" totalsRowShown="0" headerRowDxfId="109" dataDxfId="108">
  <autoFilter ref="M32:T39"/>
  <tableColumns count="8">
    <tableColumn id="1" name="Course" dataDxfId="9"/>
    <tableColumn id="2" name="Name" dataDxfId="107">
      <calculatedColumnFormula>IF(Table133243[[#This Row],[Course]]= "","",IFERROR(VLOOKUP(Table133243[[#This Row],[Course]],COURSELIST[],2,FALSE),"Course Not Found!"))</calculatedColumnFormula>
    </tableColumn>
    <tableColumn id="3" name="Degree" dataDxfId="106">
      <calculatedColumnFormula>IF(Table133243[[#This Row],[Course]]= "","",IFERROR(VLOOKUP(Table133243[[#This Row],[Course]],COURSELIST[],3,FALSE),""))</calculatedColumnFormula>
    </tableColumn>
    <tableColumn id="4" name="Credits" dataDxfId="105">
      <calculatedColumnFormula>IF(Table133243[[#This Row],[Course]]= "","",IFERROR(VLOOKUP(Table133243[[#This Row],[Course]],COURSELIST[],4,FALSE),""))</calculatedColumnFormula>
    </tableColumn>
    <tableColumn id="5" name=" " dataDxfId="104"/>
    <tableColumn id="6" name="Enrolled" dataDxfId="103">
      <calculatedColumnFormula>IF(Table133243[[#This Row],[Course]]= "","",IFERROR(VLOOKUP(Table133243[[#This Row],[Course]],COURSELIST[],6,FALSE),""))</calculatedColumnFormula>
    </tableColumn>
    <tableColumn id="7" name="Completed" dataDxfId="102">
      <calculatedColumnFormula>IF(Table133243[[#This Row],[Course]]= "","",IFERROR(VLOOKUP(Table133243[[#This Row],[Course]],COURSELIST[],7,FALSE),""))</calculatedColumnFormula>
    </tableColumn>
    <tableColumn id="8" name="GradePoints" dataDxfId="101">
      <calculatedColumnFormula>IF(Table133243[[#This Row],[Course]]= "","",IFERROR(VLOOKUP(Table133243[[#This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43" name="Table143344" displayName="Table143344" ref="M46:T53" totalsRowShown="0" headerRowDxfId="100" dataDxfId="99">
  <autoFilter ref="M46:T53"/>
  <tableColumns count="8">
    <tableColumn id="1" name="Course" dataDxfId="8"/>
    <tableColumn id="2" name="Name" dataDxfId="98">
      <calculatedColumnFormula>IF(Table143344[[#This Row],[Course]]= "","",IFERROR(VLOOKUP(Table143344[[#This Row],[Course]],COURSELIST[],2,FALSE),"Course Not Found!"))</calculatedColumnFormula>
    </tableColumn>
    <tableColumn id="3" name="Degree" dataDxfId="97">
      <calculatedColumnFormula>IF(Table143344[[#This Row],[Course]]= "","",IFERROR(VLOOKUP(Table143344[[#This Row],[Course]],COURSELIST[],3,FALSE),""))</calculatedColumnFormula>
    </tableColumn>
    <tableColumn id="4" name="Credits" dataDxfId="96">
      <calculatedColumnFormula>IF(Table143344[[#This Row],[Course]]= "","",IFERROR(VLOOKUP(Table143344[[#This Row],[Course]],COURSELIST[],4,FALSE),""))</calculatedColumnFormula>
    </tableColumn>
    <tableColumn id="5" name=" " dataDxfId="95"/>
    <tableColumn id="6" name="Enrolled" dataDxfId="94">
      <calculatedColumnFormula>IF(Table143344[[#This Row],[Course]]= "","",IFERROR(VLOOKUP(Table143344[[#This Row],[Course]],COURSELIST[],6,FALSE),""))</calculatedColumnFormula>
    </tableColumn>
    <tableColumn id="7" name="Completed" dataDxfId="93">
      <calculatedColumnFormula>IF(Table143344[[#This Row],[Course]]= "","",IFERROR(VLOOKUP(Table143344[[#This Row],[Course]],COURSELIST[],7,FALSE),""))</calculatedColumnFormula>
    </tableColumn>
    <tableColumn id="8" name="GradePoints" dataDxfId="92">
      <calculatedColumnFormula>IF(Table143344[[#This Row],[Course]]= "","",IFERROR(VLOOKUP(Table143344[[#This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47" name="Table3222148" displayName="Table3222148" ref="C60:J67" totalsRowShown="0" headerRowDxfId="91" dataDxfId="90">
  <autoFilter ref="C60:J67"/>
  <tableColumns count="8">
    <tableColumn id="1" name="Course" dataDxfId="7"/>
    <tableColumn id="2" name="Name" dataDxfId="89">
      <calculatedColumnFormula>IF(Table3222148[[#This Row],[Course]]= "","",IFERROR(VLOOKUP(Table3222148[[#This Row],[Course]],COURSELIST[],2,FALSE),"Course Not Found!"))</calculatedColumnFormula>
    </tableColumn>
    <tableColumn id="3" name="Degree" dataDxfId="88">
      <calculatedColumnFormula>IF(Table3222148[[#This Row],[Course]]= "","",IFERROR(VLOOKUP(Table3222148[[#This Row],[Course]],COURSELIST[],3,FALSE),""))</calculatedColumnFormula>
    </tableColumn>
    <tableColumn id="4" name="Credits" dataDxfId="87">
      <calculatedColumnFormula>IF(Table3222148[[#This Row],[Course]]= "","",IFERROR(VLOOKUP(Table3222148[[#This Row],[Course]],COURSELIST[],4,FALSE),""))</calculatedColumnFormula>
    </tableColumn>
    <tableColumn id="5" name=" " dataDxfId="86"/>
    <tableColumn id="6" name="Enrolled" dataDxfId="85">
      <calculatedColumnFormula>IF(Table3222148[[#This Row],[Course]]= "","",IFERROR(VLOOKUP(Table3222148[[#This Row],[Course]],COURSELIST[],6,FALSE),""))</calculatedColumnFormula>
    </tableColumn>
    <tableColumn id="7" name="Completed" dataDxfId="84">
      <calculatedColumnFormula>IF(Table3222148[[#This Row],[Course]]= "","",IFERROR(VLOOKUP(Table3222148[[#This Row],[Course]],COURSELIST[],7,FALSE),""))</calculatedColumnFormula>
    </tableColumn>
    <tableColumn id="8" name="GradePoints" dataDxfId="83">
      <calculatedColumnFormula>IF(Table3222148[[#This Row],[Course]]= "","",IFERROR(VLOOKUP(Table3222148[[#This Row],[Course]],COURSELIST[],8,FALSE),""))</calculatedColumnFormula>
    </tableColumn>
  </tableColumns>
  <tableStyleInfo name="TableStyleLight3" showFirstColumn="0" showLastColumn="0" showRowStripes="1" showColumnStripes="0"/>
</table>
</file>

<file path=xl/tables/table17.xml><?xml version="1.0" encoding="utf-8"?>
<table xmlns="http://schemas.openxmlformats.org/spreadsheetml/2006/main" id="48" name="Table9283949" displayName="Table9283949" ref="W60:AD67" totalsRowShown="0" headerRowDxfId="82" dataDxfId="81">
  <autoFilter ref="W60:AD67"/>
  <tableColumns count="8">
    <tableColumn id="1" name="Course" dataDxfId="6"/>
    <tableColumn id="2" name="Name" dataDxfId="80">
      <calculatedColumnFormula>IF(Table9283949[[#This Row],[Course]]= "","",IFERROR(VLOOKUP(Table9283949[[#This Row],[Course]],COURSELIST[],2,FALSE),"Course Not Found!"))</calculatedColumnFormula>
    </tableColumn>
    <tableColumn id="3" name="Degree" dataDxfId="79">
      <calculatedColumnFormula>IF(Table9283949[[#This Row],[Course]]= "","",IFERROR(VLOOKUP(Table9283949[[#This Row],[Course]],COURSELIST[],3,FALSE),""))</calculatedColumnFormula>
    </tableColumn>
    <tableColumn id="4" name="Credits" dataDxfId="78">
      <calculatedColumnFormula>IF(Table9283949[[#This Row],[Course]]= "","",IFERROR(VLOOKUP(Table9283949[[#This Row],[Course]],COURSELIST[],4,FALSE),""))</calculatedColumnFormula>
    </tableColumn>
    <tableColumn id="5" name=" " dataDxfId="77"/>
    <tableColumn id="6" name="Enrolled" dataDxfId="76">
      <calculatedColumnFormula>IF(Table9283949[[#This Row],[Course]]= "","",IFERROR(VLOOKUP(Table9283949[[#This Row],[Course]],COURSELIST[],6,FALSE),""))</calculatedColumnFormula>
    </tableColumn>
    <tableColumn id="7" name="Completed" dataDxfId="75">
      <calculatedColumnFormula>IF(Table9283949[[#This Row],[Course]]= "","",IFERROR(VLOOKUP(Table9283949[[#This Row],[Course]],COURSELIST[],7,FALSE),""))</calculatedColumnFormula>
    </tableColumn>
    <tableColumn id="8" name="GradePoints" dataDxfId="74">
      <calculatedColumnFormula>IF(Table9283949[[#This Row],[Course]]= "","",IFERROR(VLOOKUP(Table9283949[[#This Row],[Course]],COURSELIST[],8,FALSE),""))</calculatedColumnFormula>
    </tableColumn>
  </tableColumns>
  <tableStyleInfo name="TableStyleLight7" showFirstColumn="0" showLastColumn="0" showRowStripes="1" showColumnStripes="0"/>
</table>
</file>

<file path=xl/tables/table18.xml><?xml version="1.0" encoding="utf-8"?>
<table xmlns="http://schemas.openxmlformats.org/spreadsheetml/2006/main" id="49" name="Table14334450" displayName="Table14334450" ref="M60:T67" totalsRowShown="0" headerRowDxfId="73" dataDxfId="72">
  <autoFilter ref="M60:T67"/>
  <tableColumns count="8">
    <tableColumn id="1" name="Course" dataDxfId="5"/>
    <tableColumn id="2" name="Name" dataDxfId="71">
      <calculatedColumnFormula>IF(Table14334450[[#This Row],[Course]]= "","",IFERROR(VLOOKUP(Table14334450[[#This Row],[Course]],COURSELIST[],2,FALSE),"Course Not Found!"))</calculatedColumnFormula>
    </tableColumn>
    <tableColumn id="3" name="Degree" dataDxfId="70">
      <calculatedColumnFormula>IF(Table14334450[[#This Row],[Course]]= "","",IFERROR(VLOOKUP(Table14334450[[#This Row],[Course]],COURSELIST[],3,FALSE),""))</calculatedColumnFormula>
    </tableColumn>
    <tableColumn id="4" name="Credits" dataDxfId="69">
      <calculatedColumnFormula>IF(Table14334450[[#This Row],[Course]]= "","",IFERROR(VLOOKUP(Table14334450[[#This Row],[Course]],COURSELIST[],4,FALSE),""))</calculatedColumnFormula>
    </tableColumn>
    <tableColumn id="5" name=" " dataDxfId="68"/>
    <tableColumn id="6" name="Enrolled" dataDxfId="67">
      <calculatedColumnFormula>IF(Table14334450[[#This Row],[Course]]= "","",IFERROR(VLOOKUP(Table14334450[[#This Row],[Course]],COURSELIST[],6,FALSE),""))</calculatedColumnFormula>
    </tableColumn>
    <tableColumn id="7" name="Completed" dataDxfId="66">
      <calculatedColumnFormula>IF(Table14334450[[#This Row],[Course]]= "","",IFERROR(VLOOKUP(Table14334450[[#This Row],[Course]],COURSELIST[],7,FALSE),""))</calculatedColumnFormula>
    </tableColumn>
    <tableColumn id="8" name="GradePoints" dataDxfId="65">
      <calculatedColumnFormula>IF(Table14334450[[#This Row],[Course]]= "","",IFERROR(VLOOKUP(Table14334450[[#This Row],[Course]],COURSELIST[],8,FALSE),""))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id="51" name="Table928394952" displayName="Table928394952" ref="AG46:AN53" totalsRowShown="0" headerRowDxfId="64" dataDxfId="63">
  <autoFilter ref="AG46:AN53"/>
  <tableColumns count="8">
    <tableColumn id="1" name="Course" dataDxfId="4"/>
    <tableColumn id="2" name="Name" dataDxfId="62">
      <calculatedColumnFormula>IF(Table928394952[[#This Row],[Course]]= "","",IFERROR(VLOOKUP(Table928394952[[#This Row],[Course]],COURSELIST[],2,FALSE),"Course Not Found!"))</calculatedColumnFormula>
    </tableColumn>
    <tableColumn id="3" name="Degree" dataDxfId="61">
      <calculatedColumnFormula>IF(Table928394952[[#This Row],[Course]]= "","",IFERROR(VLOOKUP(Table928394952[[#This Row],[Course]],COURSELIST[],3,FALSE),""))</calculatedColumnFormula>
    </tableColumn>
    <tableColumn id="4" name="Credits" dataDxfId="60">
      <calculatedColumnFormula>IF(Table928394952[[#This Row],[Course]]= "","",IFERROR(VLOOKUP(Table928394952[[#This Row],[Course]],COURSELIST[],4,FALSE),""))</calculatedColumnFormula>
    </tableColumn>
    <tableColumn id="5" name=" " dataDxfId="59"/>
    <tableColumn id="6" name="Enrolled" dataDxfId="58">
      <calculatedColumnFormula>IF(Table928394952[[#This Row],[Course]]= "","",IFERROR(VLOOKUP(Table928394952[[#This Row],[Course]],COURSELIST[],6,FALSE),""))</calculatedColumnFormula>
    </tableColumn>
    <tableColumn id="7" name="Completed" dataDxfId="57">
      <calculatedColumnFormula>IF(Table928394952[[#This Row],[Course]]= "","",IFERROR(VLOOKUP(Table928394952[[#This Row],[Course]],COURSELIST[],7,FALSE),""))</calculatedColumnFormula>
    </tableColumn>
    <tableColumn id="8" name="GradePoints" dataDxfId="56">
      <calculatedColumnFormula>IF(Table928394952[[#This Row],[Course]]= "","",IFERROR(VLOOKUP(Table928394952[[#This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0.xml><?xml version="1.0" encoding="utf-8"?>
<table xmlns="http://schemas.openxmlformats.org/spreadsheetml/2006/main" id="52" name="Table92839495253" displayName="Table92839495253" ref="AG32:AN39" totalsRowShown="0" headerRowDxfId="55" dataDxfId="54">
  <autoFilter ref="AG32:AN39"/>
  <tableColumns count="8">
    <tableColumn id="1" name="Course" dataDxfId="3"/>
    <tableColumn id="2" name="Name" dataDxfId="53">
      <calculatedColumnFormula>IF(Table92839495253[[#This Row],[Course]]= "","",IFERROR(VLOOKUP(Table92839495253[[#This Row],[Course]],COURSELIST[],2,FALSE),"Course Not Found!"))</calculatedColumnFormula>
    </tableColumn>
    <tableColumn id="3" name="Degree" dataDxfId="52">
      <calculatedColumnFormula>IF(Table92839495253[[#This Row],[Course]]= "","",IFERROR(VLOOKUP(Table92839495253[[#This Row],[Course]],COURSELIST[],3,FALSE),""))</calculatedColumnFormula>
    </tableColumn>
    <tableColumn id="4" name="Credits" dataDxfId="51">
      <calculatedColumnFormula>IF(Table92839495253[[#This Row],[Course]]= "","",IFERROR(VLOOKUP(Table92839495253[[#This Row],[Course]],COURSELIST[],4,FALSE),""))</calculatedColumnFormula>
    </tableColumn>
    <tableColumn id="5" name=" " dataDxfId="50"/>
    <tableColumn id="6" name="Enrolled" dataDxfId="49">
      <calculatedColumnFormula>IF(Table92839495253[[#This Row],[Course]]= "","",IFERROR(VLOOKUP(Table92839495253[[#This Row],[Course]],COURSELIST[],6,FALSE),""))</calculatedColumnFormula>
    </tableColumn>
    <tableColumn id="7" name="Completed" dataDxfId="48">
      <calculatedColumnFormula>IF(Table92839495253[[#This Row],[Course]]= "","",IFERROR(VLOOKUP(Table92839495253[[#This Row],[Course]],COURSELIST[],7,FALSE),""))</calculatedColumnFormula>
    </tableColumn>
    <tableColumn id="8" name="GradePoints" dataDxfId="47">
      <calculatedColumnFormula>IF(Table92839495253[[#This Row],[Course]]= "","",IFERROR(VLOOKUP(Table92839495253[[#This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id="53" name="Table9283949525354" displayName="Table9283949525354" ref="AG18:AN25" totalsRowShown="0" headerRowDxfId="46" dataDxfId="45">
  <autoFilter ref="AG18:AN25"/>
  <tableColumns count="8">
    <tableColumn id="1" name="Course" dataDxfId="2"/>
    <tableColumn id="2" name="Name" dataDxfId="44">
      <calculatedColumnFormula>IF(Table9283949525354[[#This Row],[Course]]= "","",IFERROR(VLOOKUP(Table9283949525354[[#This Row],[Course]],COURSELIST[],2,FALSE),"Course Not Found!"))</calculatedColumnFormula>
    </tableColumn>
    <tableColumn id="3" name="Degree" dataDxfId="43">
      <calculatedColumnFormula>IF(Table9283949525354[[#This Row],[Course]]= "","",IFERROR(VLOOKUP(Table9283949525354[[#This Row],[Course]],COURSELIST[],3,FALSE),""))</calculatedColumnFormula>
    </tableColumn>
    <tableColumn id="4" name="Credits" dataDxfId="42">
      <calculatedColumnFormula>IF(Table9283949525354[[#This Row],[Course]]= "","",IFERROR(VLOOKUP(Table9283949525354[[#This Row],[Course]],COURSELIST[],4,FALSE),""))</calculatedColumnFormula>
    </tableColumn>
    <tableColumn id="5" name=" " dataDxfId="41"/>
    <tableColumn id="6" name="Enrolled" dataDxfId="40">
      <calculatedColumnFormula>IF(Table9283949525354[[#This Row],[Course]]= "","",IFERROR(VLOOKUP(Table9283949525354[[#This Row],[Course]],COURSELIST[],6,FALSE),""))</calculatedColumnFormula>
    </tableColumn>
    <tableColumn id="7" name="Completed" dataDxfId="39">
      <calculatedColumnFormula>IF(Table9283949525354[[#This Row],[Course]]= "","",IFERROR(VLOOKUP(Table9283949525354[[#This Row],[Course]],COURSELIST[],7,FALSE),""))</calculatedColumnFormula>
    </tableColumn>
    <tableColumn id="8" name="GradePoints" dataDxfId="38">
      <calculatedColumnFormula>IF(Table9283949525354[[#This Row],[Course]]= "","",IFERROR(VLOOKUP(Table9283949525354[[#This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54" name="Table92839495255" displayName="Table92839495255" ref="AG60:AN67" totalsRowShown="0" headerRowDxfId="37" dataDxfId="36">
  <autoFilter ref="AG60:AN67"/>
  <tableColumns count="8">
    <tableColumn id="1" name="Course" dataDxfId="1"/>
    <tableColumn id="2" name="Name" dataDxfId="35">
      <calculatedColumnFormula>IF(Table92839495255[[#This Row],[Course]]= "","",IFERROR(VLOOKUP(Table92839495255[[#This Row],[Course]],COURSELIST[],2,FALSE),"Course Not Found!"))</calculatedColumnFormula>
    </tableColumn>
    <tableColumn id="3" name="Degree" dataDxfId="34">
      <calculatedColumnFormula>IF(Table92839495255[[#This Row],[Course]]= "","",IFERROR(VLOOKUP(Table92839495255[[#This Row],[Course]],COURSELIST[],3,FALSE),""))</calculatedColumnFormula>
    </tableColumn>
    <tableColumn id="4" name="Credits" dataDxfId="33">
      <calculatedColumnFormula>IF(Table92839495255[[#This Row],[Course]]= "","",IFERROR(VLOOKUP(Table92839495255[[#This Row],[Course]],COURSELIST[],4,FALSE),""))</calculatedColumnFormula>
    </tableColumn>
    <tableColumn id="5" name=" " dataDxfId="32"/>
    <tableColumn id="6" name="Enrolled" dataDxfId="31">
      <calculatedColumnFormula>IF(Table92839495255[[#This Row],[Course]]= "","",IFERROR(VLOOKUP(Table92839495255[[#This Row],[Course]],COURSELIST[],6,FALSE),""))</calculatedColumnFormula>
    </tableColumn>
    <tableColumn id="7" name="Completed" dataDxfId="30">
      <calculatedColumnFormula>IF(Table92839495255[[#This Row],[Course]]= "","",IFERROR(VLOOKUP(Table92839495255[[#This Row],[Course]],COURSELIST[],7,FALSE),""))</calculatedColumnFormula>
    </tableColumn>
    <tableColumn id="8" name="GradePoints" dataDxfId="29">
      <calculatedColumnFormula>IF(Table92839495255[[#This Row],[Course]]= "","",IFERROR(VLOOKUP(Table92839495255[[#This Row],[Course]],COURSELIST[],8,FALSE),""))</calculatedColumnFormula>
    </tableColumn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id="1" name="Table92839495253542" displayName="Table92839495253542" ref="AG3:AN10" totalsRowShown="0" headerRowDxfId="28" dataDxfId="27">
  <autoFilter ref="AG3:AN10"/>
  <tableColumns count="8">
    <tableColumn id="1" name="Course" dataDxfId="0"/>
    <tableColumn id="2" name="Name" dataDxfId="26">
      <calculatedColumnFormula>IF(Table92839495253542[[#This Row],[Course]]= "","",IFERROR(VLOOKUP(Table92839495253542[[#This Row],[Course]],COURSELIST[],2,FALSE),"Course Not Found!"))</calculatedColumnFormula>
    </tableColumn>
    <tableColumn id="3" name="Degree" dataDxfId="25">
      <calculatedColumnFormula>IF(Table92839495253542[[#This Row],[Course]]= "","",IFERROR(VLOOKUP(Table92839495253542[[#This Row],[Course]],COURSELIST[],3,FALSE),""))</calculatedColumnFormula>
    </tableColumn>
    <tableColumn id="4" name="Credits" dataDxfId="24">
      <calculatedColumnFormula>IF(Table92839495253542[[#This Row],[Course]]= "","",IFERROR(VLOOKUP(Table92839495253542[[#This Row],[Course]],COURSELIST[],4,FALSE),""))</calculatedColumnFormula>
    </tableColumn>
    <tableColumn id="5" name=" " dataDxfId="23"/>
    <tableColumn id="6" name="Enrolled" dataDxfId="22">
      <calculatedColumnFormula>IF(Table92839495253542[[#This Row],[Course]]= "","",IFERROR(VLOOKUP(Table92839495253542[[#This Row],[Course]],COURSELIST[],6,FALSE),""))</calculatedColumnFormula>
    </tableColumn>
    <tableColumn id="7" name="Completed" dataDxfId="21">
      <calculatedColumnFormula>IF(Table92839495253542[[#This Row],[Course]]= "","",IFERROR(VLOOKUP(Table92839495253542[[#This Row],[Course]],COURSELIST[],7,FALSE),""))</calculatedColumnFormula>
    </tableColumn>
    <tableColumn id="8" name="GradePoints" dataDxfId="20">
      <calculatedColumnFormula>IF(Table92839495253542[[#This Row],[Course]]= "","",IFERROR(VLOOKUP(Table92839495253542[[#This Row],[Course]],COURSELIST[],8,FALSE),""))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ickbolles.com/" TargetMode="External"/><Relationship Id="rId1" Type="http://schemas.openxmlformats.org/officeDocument/2006/relationships/hyperlink" Target="http://nickbolle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21" Type="http://schemas.openxmlformats.org/officeDocument/2006/relationships/table" Target="../tables/table23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table" Target="../tables/table4.xml"/><Relationship Id="rId16" Type="http://schemas.openxmlformats.org/officeDocument/2006/relationships/table" Target="../tables/table18.xml"/><Relationship Id="rId20" Type="http://schemas.openxmlformats.org/officeDocument/2006/relationships/table" Target="../tables/table2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1"/>
  <sheetViews>
    <sheetView topLeftCell="A28" workbookViewId="0">
      <selection activeCell="M13" sqref="M13"/>
    </sheetView>
  </sheetViews>
  <sheetFormatPr defaultRowHeight="15"/>
  <cols>
    <col min="1" max="1" width="4.140625" style="64" bestFit="1" customWidth="1"/>
    <col min="2" max="14" width="10.7109375" style="64" customWidth="1"/>
    <col min="15" max="16384" width="9.140625" style="64"/>
  </cols>
  <sheetData>
    <row r="1" spans="1:14" ht="46.5">
      <c r="A1" s="128" t="s">
        <v>101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67"/>
    </row>
    <row r="2" spans="1:14" ht="20.25" customHeight="1">
      <c r="A2" s="65"/>
      <c r="B2" s="65"/>
      <c r="C2" s="65"/>
      <c r="D2" s="129" t="s">
        <v>83</v>
      </c>
      <c r="E2" s="129"/>
      <c r="F2" s="129"/>
      <c r="G2" s="66" t="s">
        <v>82</v>
      </c>
      <c r="H2" s="66"/>
      <c r="I2" s="67"/>
      <c r="J2" s="67"/>
      <c r="K2" s="65"/>
      <c r="L2" s="65"/>
      <c r="M2" s="67"/>
    </row>
    <row r="3" spans="1:14" ht="20.25" customHeight="1">
      <c r="A3" s="65"/>
      <c r="B3" s="65"/>
      <c r="C3" s="65"/>
      <c r="D3" s="95"/>
      <c r="E3" s="95"/>
      <c r="F3" s="95"/>
      <c r="G3" s="66"/>
      <c r="H3" s="66"/>
      <c r="I3" s="67"/>
      <c r="J3" s="67"/>
      <c r="K3" s="65"/>
      <c r="L3" s="65"/>
      <c r="M3" s="67"/>
    </row>
    <row r="4" spans="1:14" ht="20.25" customHeight="1">
      <c r="A4" s="65"/>
      <c r="B4" s="65"/>
      <c r="C4" s="65"/>
      <c r="D4" s="131" t="s">
        <v>114</v>
      </c>
      <c r="E4" s="131"/>
      <c r="F4" s="131"/>
      <c r="G4" s="131"/>
      <c r="H4" s="131"/>
      <c r="I4" s="131"/>
      <c r="J4" s="91"/>
      <c r="K4" s="65"/>
      <c r="L4" s="65"/>
      <c r="M4" s="67"/>
    </row>
    <row r="5" spans="1:14" ht="20.25" customHeight="1">
      <c r="A5" s="65"/>
      <c r="B5" s="65"/>
      <c r="C5" s="65"/>
      <c r="D5" s="131"/>
      <c r="E5" s="131"/>
      <c r="F5" s="131"/>
      <c r="G5" s="131"/>
      <c r="H5" s="131"/>
      <c r="I5" s="131"/>
      <c r="J5" s="92"/>
      <c r="K5" s="65"/>
      <c r="L5" s="65"/>
      <c r="M5" s="67"/>
    </row>
    <row r="6" spans="1:14" ht="15.75" thickBot="1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</row>
    <row r="7" spans="1:14" ht="32.25" thickTop="1">
      <c r="A7" s="67"/>
      <c r="B7" s="67"/>
      <c r="C7" s="120" t="s">
        <v>102</v>
      </c>
      <c r="D7" s="121"/>
      <c r="E7" s="121"/>
      <c r="F7" s="121"/>
      <c r="G7" s="121"/>
      <c r="H7" s="121"/>
      <c r="I7" s="121"/>
      <c r="J7" s="122"/>
      <c r="K7" s="67"/>
      <c r="L7" s="67"/>
      <c r="M7" s="67"/>
    </row>
    <row r="8" spans="1:14" ht="23.25">
      <c r="A8" s="67"/>
      <c r="B8" s="67"/>
      <c r="C8" s="123" t="s">
        <v>68</v>
      </c>
      <c r="D8" s="124"/>
      <c r="E8" s="124"/>
      <c r="F8" s="124"/>
      <c r="G8" s="124"/>
      <c r="H8" s="124"/>
      <c r="I8" s="124"/>
      <c r="J8" s="125"/>
      <c r="K8" s="67"/>
      <c r="L8" s="67"/>
      <c r="M8" s="67"/>
    </row>
    <row r="9" spans="1:14" ht="15.75" thickBot="1">
      <c r="A9" s="67"/>
      <c r="B9" s="67"/>
      <c r="C9" s="68"/>
      <c r="D9" s="130" t="s">
        <v>97</v>
      </c>
      <c r="E9" s="130"/>
      <c r="F9" s="130"/>
      <c r="G9" s="130"/>
      <c r="H9" s="130"/>
      <c r="I9" s="130"/>
      <c r="J9" s="69"/>
      <c r="K9" s="67"/>
      <c r="L9" s="67"/>
      <c r="M9" s="67"/>
    </row>
    <row r="10" spans="1:14" ht="15.75" thickBot="1">
      <c r="A10" s="67"/>
      <c r="B10" s="67"/>
      <c r="C10" s="68"/>
      <c r="D10" s="70"/>
      <c r="E10" s="67"/>
      <c r="F10" s="126">
        <v>0</v>
      </c>
      <c r="G10" s="127"/>
      <c r="H10" s="67"/>
      <c r="I10" s="70"/>
      <c r="J10" s="69"/>
      <c r="K10" s="67"/>
      <c r="L10" s="67"/>
      <c r="M10" s="67"/>
    </row>
    <row r="11" spans="1:14" ht="23.25">
      <c r="A11" s="67"/>
      <c r="B11" s="67"/>
      <c r="C11" s="68"/>
      <c r="D11" s="70"/>
      <c r="E11" s="70"/>
      <c r="F11" s="70"/>
      <c r="G11" s="70"/>
      <c r="H11" s="67"/>
      <c r="I11" s="70"/>
      <c r="J11" s="71"/>
      <c r="K11" s="67"/>
      <c r="L11" s="67"/>
      <c r="M11" s="67"/>
    </row>
    <row r="12" spans="1:14" ht="23.25">
      <c r="A12" s="67"/>
      <c r="B12" s="67"/>
      <c r="C12" s="123" t="s">
        <v>87</v>
      </c>
      <c r="D12" s="124"/>
      <c r="E12" s="124"/>
      <c r="F12" s="124"/>
      <c r="G12" s="124"/>
      <c r="H12" s="124"/>
      <c r="I12" s="124"/>
      <c r="J12" s="125"/>
      <c r="K12" s="67"/>
      <c r="L12" s="67"/>
      <c r="M12" s="87"/>
      <c r="N12" s="88"/>
    </row>
    <row r="13" spans="1:14" ht="23.25">
      <c r="A13" s="67"/>
      <c r="B13" s="67"/>
      <c r="C13" s="93"/>
      <c r="D13" s="130" t="s">
        <v>115</v>
      </c>
      <c r="E13" s="130"/>
      <c r="F13" s="130"/>
      <c r="G13" s="130"/>
      <c r="H13" s="130"/>
      <c r="I13" s="130"/>
      <c r="J13" s="71"/>
      <c r="K13" s="67"/>
      <c r="L13" s="67"/>
      <c r="M13" s="87"/>
      <c r="N13" s="88"/>
    </row>
    <row r="14" spans="1:14" ht="15.75" thickBot="1">
      <c r="A14" s="67"/>
      <c r="B14" s="67"/>
      <c r="C14" s="68"/>
      <c r="D14" s="130" t="s">
        <v>116</v>
      </c>
      <c r="E14" s="130"/>
      <c r="F14" s="130"/>
      <c r="G14" s="130"/>
      <c r="H14" s="130"/>
      <c r="I14" s="130"/>
      <c r="J14" s="69"/>
      <c r="K14" s="67"/>
      <c r="L14" s="67"/>
      <c r="M14" s="67"/>
    </row>
    <row r="15" spans="1:14" ht="15.75" thickBot="1">
      <c r="A15" s="67"/>
      <c r="B15" s="67"/>
      <c r="C15" s="68"/>
      <c r="D15" s="72"/>
      <c r="E15" s="116" t="s">
        <v>67</v>
      </c>
      <c r="F15" s="117"/>
      <c r="G15" s="85">
        <v>0</v>
      </c>
      <c r="H15" s="67"/>
      <c r="I15" s="70"/>
      <c r="J15" s="69"/>
      <c r="K15" s="67"/>
      <c r="L15" s="67"/>
      <c r="M15" s="67"/>
    </row>
    <row r="16" spans="1:14" ht="15.75" thickBot="1">
      <c r="A16" s="67"/>
      <c r="B16" s="67"/>
      <c r="C16" s="68"/>
      <c r="D16" s="67"/>
      <c r="E16" s="116" t="s">
        <v>66</v>
      </c>
      <c r="F16" s="117"/>
      <c r="G16" s="85">
        <v>24</v>
      </c>
      <c r="H16" s="67"/>
      <c r="I16" s="70"/>
      <c r="J16" s="69"/>
      <c r="K16" s="67"/>
      <c r="L16" s="67"/>
      <c r="M16" s="67"/>
    </row>
    <row r="17" spans="1:13" ht="15.75" thickBot="1">
      <c r="A17" s="67"/>
      <c r="B17" s="67"/>
      <c r="C17" s="68"/>
      <c r="D17" s="67"/>
      <c r="E17" s="116" t="s">
        <v>65</v>
      </c>
      <c r="F17" s="117"/>
      <c r="G17" s="85">
        <v>54</v>
      </c>
      <c r="H17" s="67"/>
      <c r="I17" s="70"/>
      <c r="J17" s="69"/>
      <c r="K17" s="67"/>
      <c r="L17" s="67"/>
      <c r="M17" s="67"/>
    </row>
    <row r="18" spans="1:13" ht="15.75" thickBot="1">
      <c r="A18" s="67"/>
      <c r="B18" s="67"/>
      <c r="C18" s="68"/>
      <c r="D18" s="67"/>
      <c r="E18" s="116" t="s">
        <v>64</v>
      </c>
      <c r="F18" s="117"/>
      <c r="G18" s="85">
        <v>90</v>
      </c>
      <c r="H18" s="67"/>
      <c r="I18" s="70"/>
      <c r="J18" s="69"/>
      <c r="K18" s="67"/>
      <c r="L18" s="67"/>
      <c r="M18" s="67"/>
    </row>
    <row r="19" spans="1:13">
      <c r="A19" s="67"/>
      <c r="B19" s="67"/>
      <c r="C19" s="68"/>
      <c r="D19" s="67"/>
      <c r="E19" s="67"/>
      <c r="F19" s="67"/>
      <c r="G19" s="67"/>
      <c r="H19" s="67"/>
      <c r="I19" s="70"/>
      <c r="J19" s="69"/>
      <c r="K19" s="67"/>
      <c r="L19" s="67"/>
      <c r="M19" s="67"/>
    </row>
    <row r="20" spans="1:13" ht="15.75" thickBot="1">
      <c r="A20" s="67"/>
      <c r="B20" s="67"/>
      <c r="C20" s="73"/>
      <c r="D20" s="74"/>
      <c r="E20" s="75"/>
      <c r="F20" s="75"/>
      <c r="G20" s="75"/>
      <c r="H20" s="75"/>
      <c r="I20" s="75"/>
      <c r="J20" s="76"/>
      <c r="K20" s="67"/>
      <c r="L20" s="67"/>
      <c r="M20" s="67"/>
    </row>
    <row r="21" spans="1:13" ht="15.75" thickTop="1">
      <c r="A21" s="67"/>
      <c r="B21" s="67"/>
      <c r="C21" s="70"/>
      <c r="D21" s="77"/>
      <c r="E21" s="70"/>
      <c r="F21" s="70"/>
      <c r="G21" s="70"/>
      <c r="H21" s="70"/>
      <c r="I21" s="70"/>
      <c r="J21" s="70"/>
      <c r="K21" s="67"/>
      <c r="L21" s="67"/>
      <c r="M21" s="67"/>
    </row>
    <row r="22" spans="1:13" ht="18.75">
      <c r="A22" s="78" t="s">
        <v>81</v>
      </c>
      <c r="B22" s="109" t="s">
        <v>106</v>
      </c>
      <c r="C22" s="110"/>
      <c r="D22" s="110"/>
      <c r="E22" s="110"/>
      <c r="F22" s="110"/>
      <c r="G22" s="110"/>
      <c r="H22" s="110"/>
      <c r="I22" s="110"/>
      <c r="J22" s="110"/>
      <c r="K22" s="110"/>
      <c r="L22" s="111"/>
      <c r="M22" s="67"/>
    </row>
    <row r="23" spans="1:13" ht="18.75">
      <c r="A23" s="78"/>
      <c r="B23" s="109" t="s">
        <v>80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1"/>
      <c r="M23" s="67"/>
    </row>
    <row r="24" spans="1:13" ht="18.75">
      <c r="A24" s="78"/>
      <c r="B24" s="67"/>
      <c r="C24" s="67"/>
      <c r="D24" s="79"/>
      <c r="E24" s="79"/>
      <c r="F24" s="79"/>
      <c r="G24" s="79"/>
      <c r="H24" s="79"/>
      <c r="I24" s="79"/>
      <c r="J24" s="67"/>
      <c r="K24" s="67"/>
      <c r="L24" s="67"/>
      <c r="M24" s="67"/>
    </row>
    <row r="25" spans="1:13" ht="18.75">
      <c r="A25" s="78" t="s">
        <v>79</v>
      </c>
      <c r="B25" s="109" t="s">
        <v>78</v>
      </c>
      <c r="C25" s="110"/>
      <c r="D25" s="110"/>
      <c r="E25" s="110"/>
      <c r="F25" s="110"/>
      <c r="G25" s="110"/>
      <c r="H25" s="110"/>
      <c r="I25" s="110"/>
      <c r="J25" s="110"/>
      <c r="K25" s="110"/>
      <c r="L25" s="111"/>
      <c r="M25" s="67"/>
    </row>
    <row r="26" spans="1:13" ht="18.75">
      <c r="A26" s="78"/>
      <c r="B26" s="67"/>
      <c r="C26" s="67"/>
      <c r="D26" s="79"/>
      <c r="E26" s="79"/>
      <c r="F26" s="79"/>
      <c r="G26" s="79"/>
      <c r="H26" s="79"/>
      <c r="I26" s="79"/>
      <c r="J26" s="67"/>
      <c r="K26" s="67"/>
      <c r="L26" s="67"/>
      <c r="M26" s="67"/>
    </row>
    <row r="27" spans="1:13" ht="19.5" thickBot="1">
      <c r="A27" s="78" t="s">
        <v>77</v>
      </c>
      <c r="B27" s="109" t="s">
        <v>76</v>
      </c>
      <c r="C27" s="110"/>
      <c r="D27" s="110"/>
      <c r="E27" s="112"/>
      <c r="F27" s="112"/>
      <c r="G27" s="112"/>
      <c r="H27" s="112"/>
      <c r="I27" s="112"/>
      <c r="J27" s="110"/>
      <c r="K27" s="110"/>
      <c r="L27" s="111"/>
      <c r="M27" s="67"/>
    </row>
    <row r="28" spans="1:13" ht="19.5" thickBot="1">
      <c r="A28" s="78"/>
      <c r="B28" s="67"/>
      <c r="C28" s="80"/>
      <c r="D28" s="80"/>
      <c r="E28" s="106" t="s">
        <v>75</v>
      </c>
      <c r="F28" s="107"/>
      <c r="G28" s="107"/>
      <c r="H28" s="107"/>
      <c r="I28" s="108"/>
      <c r="J28" s="80"/>
      <c r="K28" s="80"/>
      <c r="L28" s="67"/>
      <c r="M28" s="67"/>
    </row>
    <row r="29" spans="1:13" ht="18.75">
      <c r="A29" s="78"/>
      <c r="B29" s="67"/>
      <c r="C29" s="67"/>
      <c r="D29" s="81"/>
      <c r="E29" s="81"/>
      <c r="F29" s="81"/>
      <c r="G29" s="81"/>
      <c r="H29" s="81"/>
      <c r="I29" s="81"/>
      <c r="J29" s="67"/>
      <c r="K29" s="67"/>
      <c r="L29" s="67"/>
      <c r="M29" s="67"/>
    </row>
    <row r="30" spans="1:13" ht="19.5" thickBot="1">
      <c r="A30" s="78" t="s">
        <v>74</v>
      </c>
      <c r="B30" s="109" t="s">
        <v>73</v>
      </c>
      <c r="C30" s="110"/>
      <c r="D30" s="110"/>
      <c r="E30" s="112"/>
      <c r="F30" s="112"/>
      <c r="G30" s="112"/>
      <c r="H30" s="112"/>
      <c r="I30" s="112"/>
      <c r="J30" s="110"/>
      <c r="K30" s="110"/>
      <c r="L30" s="111"/>
      <c r="M30" s="84"/>
    </row>
    <row r="31" spans="1:13" ht="19.5" thickBot="1">
      <c r="A31" s="78"/>
      <c r="B31" s="67"/>
      <c r="C31" s="80"/>
      <c r="D31" s="80"/>
      <c r="E31" s="106" t="s">
        <v>70</v>
      </c>
      <c r="F31" s="107"/>
      <c r="G31" s="107"/>
      <c r="H31" s="107"/>
      <c r="I31" s="108"/>
      <c r="J31" s="80"/>
      <c r="K31" s="80"/>
      <c r="L31" s="67"/>
      <c r="M31" s="67"/>
    </row>
    <row r="32" spans="1:13" ht="18.75">
      <c r="A32" s="78"/>
      <c r="B32" s="67"/>
      <c r="C32" s="82"/>
      <c r="D32" s="81"/>
      <c r="E32" s="81"/>
      <c r="F32" s="81"/>
      <c r="G32" s="81"/>
      <c r="H32" s="81"/>
      <c r="I32" s="81"/>
      <c r="J32" s="67"/>
      <c r="K32" s="67"/>
      <c r="L32" s="67"/>
      <c r="M32" s="67"/>
    </row>
    <row r="33" spans="1:13" ht="18.75">
      <c r="A33" s="78" t="s">
        <v>72</v>
      </c>
      <c r="B33" s="118" t="s">
        <v>71</v>
      </c>
      <c r="C33" s="112"/>
      <c r="D33" s="112"/>
      <c r="E33" s="112"/>
      <c r="F33" s="112"/>
      <c r="G33" s="112"/>
      <c r="H33" s="112"/>
      <c r="I33" s="112"/>
      <c r="J33" s="112"/>
      <c r="K33" s="112"/>
      <c r="L33" s="119"/>
      <c r="M33" s="67"/>
    </row>
    <row r="34" spans="1:13" ht="19.5" thickBot="1">
      <c r="A34" s="78"/>
      <c r="B34" s="109" t="s">
        <v>104</v>
      </c>
      <c r="C34" s="110"/>
      <c r="D34" s="110"/>
      <c r="E34" s="112"/>
      <c r="F34" s="112"/>
      <c r="G34" s="112"/>
      <c r="H34" s="112"/>
      <c r="I34" s="112"/>
      <c r="J34" s="110"/>
      <c r="K34" s="110"/>
      <c r="L34" s="111"/>
      <c r="M34" s="67"/>
    </row>
    <row r="35" spans="1:13" ht="19.5" thickBot="1">
      <c r="A35" s="78"/>
      <c r="B35" s="67"/>
      <c r="C35" s="80"/>
      <c r="D35" s="80"/>
      <c r="E35" s="106" t="s">
        <v>70</v>
      </c>
      <c r="F35" s="107"/>
      <c r="G35" s="107"/>
      <c r="H35" s="107"/>
      <c r="I35" s="108"/>
      <c r="J35" s="80"/>
      <c r="K35" s="80"/>
      <c r="L35" s="70"/>
      <c r="M35" s="70"/>
    </row>
    <row r="36" spans="1:13" ht="18.75">
      <c r="A36" s="78"/>
      <c r="B36" s="67"/>
      <c r="C36" s="67"/>
      <c r="D36" s="81"/>
      <c r="E36" s="81"/>
      <c r="F36" s="81"/>
      <c r="G36" s="81"/>
      <c r="H36" s="81"/>
      <c r="I36" s="81"/>
      <c r="J36" s="67"/>
      <c r="K36" s="67"/>
      <c r="L36" s="67"/>
      <c r="M36" s="67"/>
    </row>
    <row r="37" spans="1:13" ht="18.75">
      <c r="A37" s="78" t="s">
        <v>69</v>
      </c>
      <c r="B37" s="109" t="s">
        <v>86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1"/>
      <c r="M37" s="67"/>
    </row>
    <row r="38" spans="1:13">
      <c r="A38" s="67"/>
      <c r="B38" s="113" t="s">
        <v>85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5"/>
      <c r="M38" s="67"/>
    </row>
    <row r="39" spans="1:13">
      <c r="A39" s="67"/>
      <c r="B39" s="67"/>
      <c r="C39" s="67"/>
      <c r="D39" s="79"/>
      <c r="E39" s="79"/>
      <c r="F39" s="79"/>
      <c r="G39" s="79"/>
      <c r="H39" s="79"/>
      <c r="I39" s="79"/>
      <c r="J39" s="67"/>
      <c r="K39" s="67"/>
      <c r="L39" s="67"/>
      <c r="M39" s="67"/>
    </row>
    <row r="40" spans="1:13">
      <c r="A40" s="67"/>
      <c r="B40" s="103" t="s">
        <v>105</v>
      </c>
      <c r="C40" s="104"/>
      <c r="D40" s="104"/>
      <c r="E40" s="104"/>
      <c r="F40" s="104"/>
      <c r="G40" s="104"/>
      <c r="H40" s="104"/>
      <c r="I40" s="104"/>
      <c r="J40" s="104"/>
      <c r="K40" s="104"/>
      <c r="L40" s="105"/>
      <c r="M40" s="67"/>
    </row>
    <row r="41" spans="1:13" ht="21">
      <c r="A41" s="67"/>
      <c r="B41" s="83"/>
      <c r="C41" s="70"/>
      <c r="D41" s="86"/>
      <c r="E41" s="86"/>
      <c r="F41" s="86"/>
      <c r="G41" s="86"/>
      <c r="H41" s="86"/>
      <c r="I41" s="86"/>
      <c r="J41" s="70"/>
      <c r="K41" s="67"/>
      <c r="L41" s="67"/>
      <c r="M41" s="67"/>
    </row>
    <row r="42" spans="1:13" ht="18.75">
      <c r="A42" s="78" t="s">
        <v>99</v>
      </c>
      <c r="B42" s="109" t="s">
        <v>100</v>
      </c>
      <c r="C42" s="110"/>
      <c r="D42" s="110"/>
      <c r="E42" s="110"/>
      <c r="F42" s="110"/>
      <c r="G42" s="110"/>
      <c r="H42" s="110"/>
      <c r="I42" s="110"/>
      <c r="J42" s="110"/>
      <c r="K42" s="110"/>
      <c r="L42" s="111"/>
      <c r="M42" s="67"/>
    </row>
    <row r="43" spans="1:13">
      <c r="A43" s="67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70"/>
    </row>
    <row r="44" spans="1:13" ht="21">
      <c r="A44" s="89" t="s">
        <v>107</v>
      </c>
      <c r="B44" s="90"/>
      <c r="C44" s="90"/>
      <c r="D44" s="90"/>
      <c r="E44" s="90"/>
      <c r="F44" s="67"/>
      <c r="G44" s="67"/>
      <c r="H44" s="67"/>
      <c r="I44" s="67"/>
      <c r="J44" s="67"/>
      <c r="K44" s="67"/>
      <c r="L44" s="67"/>
      <c r="M44" s="67"/>
    </row>
    <row r="45" spans="1:13">
      <c r="A45" s="67"/>
      <c r="B45" s="101" t="s">
        <v>109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67"/>
    </row>
    <row r="46" spans="1:13">
      <c r="A46" s="67"/>
      <c r="B46" s="100" t="s">
        <v>108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67"/>
    </row>
    <row r="47" spans="1:13">
      <c r="A47" s="67"/>
      <c r="B47" s="101" t="s">
        <v>110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67"/>
    </row>
    <row r="48" spans="1:13">
      <c r="A48" s="67"/>
      <c r="B48" s="100" t="s">
        <v>111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67"/>
    </row>
    <row r="49" spans="1:13">
      <c r="A49" s="67"/>
      <c r="B49" s="101" t="s">
        <v>113</v>
      </c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67"/>
    </row>
    <row r="50" spans="1:13">
      <c r="A50" s="67"/>
      <c r="B50" s="100" t="s">
        <v>112</v>
      </c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67"/>
    </row>
    <row r="51" spans="1:13" ht="18.75">
      <c r="A51" s="78"/>
      <c r="B51" s="67"/>
      <c r="C51" s="82"/>
      <c r="D51" s="81"/>
      <c r="E51" s="81"/>
      <c r="F51" s="81"/>
      <c r="G51" s="81"/>
      <c r="H51" s="81"/>
      <c r="I51" s="81"/>
      <c r="J51" s="67"/>
      <c r="K51" s="67"/>
      <c r="L51" s="67"/>
      <c r="M51" s="67"/>
    </row>
  </sheetData>
  <sheetProtection sheet="1" objects="1" scenarios="1"/>
  <mergeCells count="35">
    <mergeCell ref="C7:J7"/>
    <mergeCell ref="C8:J8"/>
    <mergeCell ref="F10:G10"/>
    <mergeCell ref="B22:L22"/>
    <mergeCell ref="A1:L1"/>
    <mergeCell ref="D2:F2"/>
    <mergeCell ref="D14:I14"/>
    <mergeCell ref="D9:I9"/>
    <mergeCell ref="C12:J12"/>
    <mergeCell ref="D4:I5"/>
    <mergeCell ref="D13:I13"/>
    <mergeCell ref="B27:L27"/>
    <mergeCell ref="B30:L30"/>
    <mergeCell ref="B34:L34"/>
    <mergeCell ref="B38:L38"/>
    <mergeCell ref="E15:F15"/>
    <mergeCell ref="E16:F16"/>
    <mergeCell ref="E17:F17"/>
    <mergeCell ref="E18:F18"/>
    <mergeCell ref="B33:L33"/>
    <mergeCell ref="B25:L25"/>
    <mergeCell ref="B23:L23"/>
    <mergeCell ref="B40:L40"/>
    <mergeCell ref="E28:I28"/>
    <mergeCell ref="E31:I31"/>
    <mergeCell ref="E35:I35"/>
    <mergeCell ref="B42:L42"/>
    <mergeCell ref="B37:L37"/>
    <mergeCell ref="B48:L48"/>
    <mergeCell ref="B49:L49"/>
    <mergeCell ref="B50:L50"/>
    <mergeCell ref="B43:L43"/>
    <mergeCell ref="B45:L45"/>
    <mergeCell ref="B46:L46"/>
    <mergeCell ref="B47:L47"/>
  </mergeCells>
  <hyperlinks>
    <hyperlink ref="C35:H35" location="'Semester View'!A1" display="'Semester View'!A1"/>
    <hyperlink ref="G2:H2" r:id="rId1" display="http://nickbolles.com"/>
    <hyperlink ref="G2" r:id="rId2"/>
    <hyperlink ref="C28:H28" location="'Course List'!A1" display="Click Here to go to the Course List Table"/>
    <hyperlink ref="C31:H31" location="'Semester View'!A1" display="Click Here to go to the Semester View"/>
    <hyperlink ref="E28" location="'Course List'!A1" display="'Course List'!A1"/>
  </hyperlinks>
  <pageMargins left="0.7" right="0.7" top="0.75" bottom="0.75" header="0.3" footer="0.3"/>
  <pageSetup orientation="portrait" horizontalDpi="4294967293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70"/>
  <sheetViews>
    <sheetView zoomScaleNormal="100" workbookViewId="0">
      <selection activeCell="I11" sqref="I11"/>
    </sheetView>
  </sheetViews>
  <sheetFormatPr defaultRowHeight="15"/>
  <cols>
    <col min="1" max="1" width="20.85546875" style="3" customWidth="1"/>
    <col min="2" max="2" width="37.5703125" style="3" customWidth="1"/>
    <col min="3" max="3" width="13.7109375" style="3" customWidth="1"/>
    <col min="4" max="4" width="13.85546875" style="3" customWidth="1"/>
    <col min="5" max="5" width="18.28515625" style="3" customWidth="1"/>
    <col min="6" max="7" width="12.5703125" style="3" customWidth="1"/>
    <col min="8" max="8" width="15.5703125" style="3" customWidth="1"/>
    <col min="9" max="9" width="53.42578125" style="3" customWidth="1"/>
    <col min="10" max="10" width="14.28515625" style="3" hidden="1" customWidth="1"/>
    <col min="11" max="11" width="12.42578125" style="3" customWidth="1"/>
    <col min="12" max="12" width="20.140625" style="3" customWidth="1"/>
    <col min="13" max="13" width="14.42578125" style="3" customWidth="1"/>
    <col min="14" max="14" width="12" style="3" customWidth="1"/>
    <col min="15" max="15" width="7.5703125" style="3" customWidth="1"/>
    <col min="16" max="16" width="7.7109375" style="3" customWidth="1"/>
    <col min="17" max="17" width="7.85546875" style="3" customWidth="1"/>
    <col min="18" max="18" width="8" style="3" customWidth="1"/>
    <col min="19" max="16384" width="9.140625" style="3"/>
  </cols>
  <sheetData>
    <row r="1" spans="1:18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27</v>
      </c>
      <c r="I1" s="1" t="s">
        <v>30</v>
      </c>
      <c r="J1" s="1" t="s">
        <v>62</v>
      </c>
    </row>
    <row r="2" spans="1:18" ht="15.75">
      <c r="A2" s="1"/>
      <c r="B2" s="1"/>
      <c r="C2" s="1"/>
      <c r="D2" s="1"/>
      <c r="E2" s="1"/>
      <c r="F2" s="1"/>
      <c r="G2" s="1"/>
      <c r="H2" s="1"/>
      <c r="I2" s="1"/>
      <c r="J2" s="1">
        <v>1</v>
      </c>
      <c r="L2" s="132" t="s">
        <v>43</v>
      </c>
      <c r="M2" s="132"/>
      <c r="N2" s="132"/>
      <c r="O2" s="132"/>
      <c r="P2" s="132"/>
      <c r="Q2" s="132"/>
    </row>
    <row r="3" spans="1:18" ht="15.75">
      <c r="A3" s="6"/>
      <c r="B3" s="1"/>
      <c r="C3" s="1"/>
      <c r="D3" s="1"/>
      <c r="E3" s="1"/>
      <c r="F3" s="1"/>
      <c r="G3" s="1"/>
      <c r="H3" s="1"/>
      <c r="I3" s="1"/>
      <c r="J3" s="1">
        <v>1</v>
      </c>
      <c r="M3" s="135" t="s">
        <v>31</v>
      </c>
      <c r="N3" s="135"/>
      <c r="O3" s="63">
        <f>COURSELIST[[#Totals],[Credits]]</f>
        <v>0</v>
      </c>
    </row>
    <row r="4" spans="1:18" ht="15.75">
      <c r="A4" s="2"/>
      <c r="B4" s="1"/>
      <c r="C4" s="1"/>
      <c r="D4" s="1"/>
      <c r="E4" s="1"/>
      <c r="F4" s="1"/>
      <c r="G4" s="1"/>
      <c r="H4" s="1"/>
      <c r="I4" s="1"/>
      <c r="J4" s="1">
        <v>1</v>
      </c>
      <c r="M4" s="135" t="s">
        <v>4</v>
      </c>
      <c r="N4" s="135"/>
      <c r="O4" s="63">
        <f>COURSELIST[[#Totals],[Credits]]+StartingCredits</f>
        <v>0</v>
      </c>
    </row>
    <row r="5" spans="1:18">
      <c r="A5" s="2"/>
      <c r="B5" s="1"/>
      <c r="C5" s="1"/>
      <c r="D5" s="1"/>
      <c r="E5" s="1"/>
      <c r="F5" s="1"/>
      <c r="G5" s="1"/>
      <c r="H5" s="1"/>
      <c r="I5" s="1"/>
      <c r="J5" s="6">
        <v>1</v>
      </c>
    </row>
    <row r="6" spans="1:18" ht="15.75" customHeight="1">
      <c r="A6" s="1"/>
      <c r="B6" s="1"/>
      <c r="C6" s="1"/>
      <c r="D6" s="1"/>
      <c r="E6" s="1"/>
      <c r="F6" s="1"/>
      <c r="G6" s="1"/>
      <c r="H6" s="1"/>
      <c r="I6" s="1"/>
      <c r="J6" s="1">
        <v>1</v>
      </c>
    </row>
    <row r="7" spans="1:18" ht="15" customHeight="1">
      <c r="A7" s="1"/>
      <c r="B7" s="1"/>
      <c r="C7" s="1"/>
      <c r="D7" s="1"/>
      <c r="E7" s="1"/>
      <c r="F7" s="1"/>
      <c r="G7" s="1"/>
      <c r="H7" s="1"/>
      <c r="I7" s="1"/>
      <c r="J7" s="1">
        <v>1</v>
      </c>
      <c r="L7" s="133" t="s">
        <v>44</v>
      </c>
      <c r="M7" s="133"/>
      <c r="N7" s="133"/>
      <c r="O7" s="133"/>
      <c r="P7" s="133"/>
      <c r="Q7" s="133"/>
      <c r="R7" s="133"/>
    </row>
    <row r="8" spans="1:18" ht="15.75" customHeight="1">
      <c r="A8" s="1"/>
      <c r="B8" s="1"/>
      <c r="C8" s="1"/>
      <c r="D8" s="1"/>
      <c r="E8" s="1"/>
      <c r="F8" s="1"/>
      <c r="G8" s="1"/>
      <c r="H8" s="1"/>
      <c r="I8" s="1"/>
      <c r="J8" s="1">
        <v>1</v>
      </c>
      <c r="L8" s="134"/>
      <c r="M8" s="134"/>
      <c r="N8" s="134"/>
      <c r="O8" s="134"/>
      <c r="P8" s="134"/>
      <c r="Q8" s="134"/>
      <c r="R8" s="134"/>
    </row>
    <row r="9" spans="1:18" ht="15.75" customHeight="1">
      <c r="A9" s="6"/>
      <c r="B9" s="1"/>
      <c r="C9" s="1"/>
      <c r="D9" s="1"/>
      <c r="E9" s="1"/>
      <c r="F9" s="1"/>
      <c r="G9" s="1"/>
      <c r="H9" s="1"/>
      <c r="I9" s="1"/>
      <c r="J9" s="1">
        <v>1</v>
      </c>
      <c r="L9" s="55" t="s">
        <v>14</v>
      </c>
      <c r="M9" s="8" t="s">
        <v>27</v>
      </c>
      <c r="N9" s="8" t="s">
        <v>32</v>
      </c>
      <c r="O9" s="8" t="s">
        <v>33</v>
      </c>
      <c r="P9" s="8" t="s">
        <v>34</v>
      </c>
      <c r="Q9" s="8" t="s">
        <v>35</v>
      </c>
      <c r="R9" s="48" t="s">
        <v>63</v>
      </c>
    </row>
    <row r="10" spans="1:18" ht="15.75" customHeight="1">
      <c r="A10" s="1"/>
      <c r="B10" s="1"/>
      <c r="C10" s="1"/>
      <c r="D10" s="1"/>
      <c r="E10" s="1"/>
      <c r="F10" s="1"/>
      <c r="G10" s="1"/>
      <c r="H10" s="1"/>
      <c r="I10" s="1"/>
      <c r="J10" s="1">
        <v>1</v>
      </c>
      <c r="L10" s="56">
        <v>4</v>
      </c>
      <c r="M10" s="45">
        <f t="shared" ref="M10:M15" si="0">$O$3*L10</f>
        <v>0</v>
      </c>
      <c r="N10" s="46">
        <f>$M$10-M10</f>
        <v>0</v>
      </c>
      <c r="O10" s="47">
        <f t="shared" ref="O10:O15" si="1">$N10/$M$39</f>
        <v>0</v>
      </c>
      <c r="P10" s="47">
        <f t="shared" ref="P10:P15" si="2">$N10/$M$40</f>
        <v>0</v>
      </c>
      <c r="Q10" s="47">
        <f t="shared" ref="Q10:Q15" si="3">$N10/$M$41</f>
        <v>0</v>
      </c>
      <c r="R10" s="47">
        <f t="shared" ref="R10:R15" si="4">$N10/$M$42</f>
        <v>0</v>
      </c>
    </row>
    <row r="11" spans="1:18" ht="15.75" customHeight="1">
      <c r="A11" s="1"/>
      <c r="B11" s="1"/>
      <c r="C11" s="1"/>
      <c r="D11" s="1"/>
      <c r="E11" s="1"/>
      <c r="F11" s="1"/>
      <c r="G11" s="1"/>
      <c r="H11" s="1"/>
      <c r="I11" s="1"/>
      <c r="J11" s="1">
        <v>1</v>
      </c>
      <c r="L11" s="56">
        <v>3.8</v>
      </c>
      <c r="M11" s="9">
        <f t="shared" si="0"/>
        <v>0</v>
      </c>
      <c r="N11" s="10">
        <f t="shared" ref="N11:N15" si="5">$M$10-M11</f>
        <v>0</v>
      </c>
      <c r="O11" s="11">
        <f t="shared" si="1"/>
        <v>0</v>
      </c>
      <c r="P11" s="11">
        <f t="shared" si="2"/>
        <v>0</v>
      </c>
      <c r="Q11" s="11">
        <f t="shared" si="3"/>
        <v>0</v>
      </c>
      <c r="R11" s="49">
        <f t="shared" si="4"/>
        <v>0</v>
      </c>
    </row>
    <row r="12" spans="1:18" ht="15.75" customHeight="1">
      <c r="A12" s="6"/>
      <c r="B12" s="1"/>
      <c r="C12" s="1"/>
      <c r="D12" s="1"/>
      <c r="E12" s="1"/>
      <c r="F12" s="1"/>
      <c r="G12" s="1"/>
      <c r="H12" s="1"/>
      <c r="I12" s="1"/>
      <c r="J12" s="1">
        <v>1</v>
      </c>
      <c r="L12" s="56">
        <v>3.5</v>
      </c>
      <c r="M12" s="9">
        <f t="shared" si="0"/>
        <v>0</v>
      </c>
      <c r="N12" s="10">
        <f t="shared" si="5"/>
        <v>0</v>
      </c>
      <c r="O12" s="11">
        <f t="shared" si="1"/>
        <v>0</v>
      </c>
      <c r="P12" s="11">
        <f t="shared" si="2"/>
        <v>0</v>
      </c>
      <c r="Q12" s="11">
        <f t="shared" si="3"/>
        <v>0</v>
      </c>
      <c r="R12" s="50">
        <f t="shared" si="4"/>
        <v>0</v>
      </c>
    </row>
    <row r="13" spans="1:18" ht="15.75" customHeight="1">
      <c r="A13" s="6"/>
      <c r="B13" s="1"/>
      <c r="C13" s="1"/>
      <c r="D13" s="1"/>
      <c r="E13" s="1"/>
      <c r="F13" s="1"/>
      <c r="G13" s="1"/>
      <c r="H13" s="1"/>
      <c r="I13" s="1"/>
      <c r="J13" s="1">
        <v>1</v>
      </c>
      <c r="L13" s="56">
        <v>3</v>
      </c>
      <c r="M13" s="9">
        <f t="shared" si="0"/>
        <v>0</v>
      </c>
      <c r="N13" s="10">
        <f t="shared" si="5"/>
        <v>0</v>
      </c>
      <c r="O13" s="11">
        <f t="shared" si="1"/>
        <v>0</v>
      </c>
      <c r="P13" s="11">
        <f t="shared" si="2"/>
        <v>0</v>
      </c>
      <c r="Q13" s="11">
        <f t="shared" si="3"/>
        <v>0</v>
      </c>
      <c r="R13" s="51">
        <f t="shared" si="4"/>
        <v>0</v>
      </c>
    </row>
    <row r="14" spans="1:18" ht="15.75">
      <c r="A14" s="6"/>
      <c r="B14" s="1"/>
      <c r="C14" s="1"/>
      <c r="D14" s="1"/>
      <c r="E14" s="1"/>
      <c r="F14" s="1"/>
      <c r="G14" s="1"/>
      <c r="H14" s="1"/>
      <c r="I14" s="1"/>
      <c r="J14" s="1">
        <v>1</v>
      </c>
      <c r="L14" s="56">
        <v>2.8</v>
      </c>
      <c r="M14" s="9">
        <f t="shared" si="0"/>
        <v>0</v>
      </c>
      <c r="N14" s="10">
        <f t="shared" si="5"/>
        <v>0</v>
      </c>
      <c r="O14" s="11">
        <f t="shared" si="1"/>
        <v>0</v>
      </c>
      <c r="P14" s="11">
        <f t="shared" si="2"/>
        <v>0</v>
      </c>
      <c r="Q14" s="11">
        <f t="shared" si="3"/>
        <v>0</v>
      </c>
      <c r="R14" s="49">
        <f t="shared" si="4"/>
        <v>0</v>
      </c>
    </row>
    <row r="15" spans="1:18" ht="15.75">
      <c r="A15" s="6"/>
      <c r="B15" s="1"/>
      <c r="C15" s="1"/>
      <c r="D15" s="1"/>
      <c r="E15" s="1"/>
      <c r="F15" s="1"/>
      <c r="G15" s="1"/>
      <c r="H15" s="1"/>
      <c r="I15" s="1"/>
      <c r="J15" s="1">
        <v>1</v>
      </c>
      <c r="L15" s="56">
        <v>2.5</v>
      </c>
      <c r="M15" s="9">
        <f t="shared" si="0"/>
        <v>0</v>
      </c>
      <c r="N15" s="10">
        <f t="shared" si="5"/>
        <v>0</v>
      </c>
      <c r="O15" s="11">
        <f t="shared" si="1"/>
        <v>0</v>
      </c>
      <c r="P15" s="11">
        <f t="shared" si="2"/>
        <v>0</v>
      </c>
      <c r="Q15" s="11">
        <f t="shared" si="3"/>
        <v>0</v>
      </c>
      <c r="R15" s="49">
        <f t="shared" si="4"/>
        <v>0</v>
      </c>
    </row>
    <row r="16" spans="1:18">
      <c r="A16" s="6"/>
      <c r="B16" s="1"/>
      <c r="C16" s="1"/>
      <c r="D16" s="1"/>
      <c r="E16" s="1"/>
      <c r="F16" s="1"/>
      <c r="G16" s="1"/>
      <c r="H16" s="1"/>
      <c r="I16" s="1"/>
      <c r="J16" s="1">
        <v>1</v>
      </c>
    </row>
    <row r="17" spans="1:19">
      <c r="A17" s="6"/>
      <c r="B17" s="1"/>
      <c r="C17" s="1"/>
      <c r="D17" s="1"/>
      <c r="E17" s="1"/>
      <c r="F17" s="1"/>
      <c r="G17" s="1"/>
      <c r="H17" s="1"/>
      <c r="I17" s="1"/>
      <c r="J17" s="1">
        <v>1</v>
      </c>
    </row>
    <row r="18" spans="1:19" ht="15.75">
      <c r="A18" s="6"/>
      <c r="B18" s="1"/>
      <c r="C18" s="1"/>
      <c r="D18" s="1"/>
      <c r="E18" s="1"/>
      <c r="F18" s="1"/>
      <c r="G18" s="1"/>
      <c r="H18" s="1"/>
      <c r="I18" s="1"/>
      <c r="J18" s="1">
        <v>1</v>
      </c>
      <c r="L18" s="132" t="s">
        <v>42</v>
      </c>
      <c r="M18" s="132"/>
      <c r="N18" s="132"/>
      <c r="O18" s="132"/>
      <c r="P18" s="132"/>
      <c r="Q18" s="132"/>
      <c r="R18" s="132"/>
    </row>
    <row r="19" spans="1:19" ht="15.75">
      <c r="A19" s="6"/>
      <c r="B19" s="1"/>
      <c r="C19" s="1"/>
      <c r="D19" s="1"/>
      <c r="E19" s="1"/>
      <c r="F19" s="1"/>
      <c r="G19" s="1"/>
      <c r="H19" s="1"/>
      <c r="I19" s="1"/>
      <c r="J19" s="1">
        <v>1</v>
      </c>
      <c r="L19" s="3" t="s">
        <v>38</v>
      </c>
      <c r="M19" s="60" t="e">
        <f>COURSELIST[[#Totals],[Grade Points]]/M20</f>
        <v>#DIV/0!</v>
      </c>
      <c r="O19" s="135" t="s">
        <v>61</v>
      </c>
      <c r="P19" s="135"/>
      <c r="Q19" s="136"/>
      <c r="R19" s="61">
        <f>SUMIF(COURSELIST[Complete],"y",COURSELIST[Counter])</f>
        <v>0</v>
      </c>
    </row>
    <row r="20" spans="1:19" ht="15.75">
      <c r="A20" s="6"/>
      <c r="B20" s="2"/>
      <c r="C20" s="1"/>
      <c r="D20" s="1"/>
      <c r="E20" s="1"/>
      <c r="F20" s="1"/>
      <c r="G20" s="1"/>
      <c r="H20" s="1"/>
      <c r="I20" s="1"/>
      <c r="J20" s="1">
        <v>1</v>
      </c>
      <c r="L20" s="59" t="s">
        <v>37</v>
      </c>
      <c r="M20" s="60">
        <f>SUMIF(COURSELIST[Complete],"y",COURSELIST[Credits])</f>
        <v>0</v>
      </c>
      <c r="N20" s="53"/>
      <c r="O20" s="135" t="s">
        <v>60</v>
      </c>
      <c r="P20" s="135"/>
      <c r="Q20" s="136"/>
      <c r="R20" s="62">
        <f>SUMIF(COURSELIST[Complete],"n",COURSELIST[Counter])</f>
        <v>0</v>
      </c>
    </row>
    <row r="21" spans="1:19" ht="15.75">
      <c r="A21" s="1"/>
      <c r="B21" s="1"/>
      <c r="C21" s="1"/>
      <c r="D21" s="1"/>
      <c r="E21" s="1"/>
      <c r="F21" s="1"/>
      <c r="G21" s="1"/>
      <c r="H21" s="1"/>
      <c r="I21" s="1"/>
      <c r="J21" s="1">
        <v>1</v>
      </c>
      <c r="L21" s="3" t="s">
        <v>27</v>
      </c>
      <c r="M21" s="60">
        <f>COURSELIST[[#Totals],[Grade Points]]</f>
        <v>0</v>
      </c>
      <c r="S21" s="52"/>
    </row>
    <row r="22" spans="1:19" ht="15.75">
      <c r="A22" s="6"/>
      <c r="B22" s="1"/>
      <c r="C22" s="1"/>
      <c r="D22" s="1"/>
      <c r="E22" s="1"/>
      <c r="F22" s="1"/>
      <c r="G22" s="1"/>
      <c r="H22" s="1"/>
      <c r="I22" s="1"/>
      <c r="J22" s="1">
        <v>1</v>
      </c>
      <c r="L22" s="21" t="s">
        <v>39</v>
      </c>
      <c r="M22" s="61">
        <f>M20*4</f>
        <v>0</v>
      </c>
      <c r="N22" s="21"/>
      <c r="P22" s="29"/>
      <c r="Q22" s="52"/>
      <c r="S22" s="52"/>
    </row>
    <row r="23" spans="1:19" ht="15.75">
      <c r="A23" s="6"/>
      <c r="B23" s="1"/>
      <c r="C23" s="1"/>
      <c r="D23" s="1"/>
      <c r="E23" s="1"/>
      <c r="F23" s="1"/>
      <c r="G23" s="1"/>
      <c r="H23" s="1"/>
      <c r="I23" s="1"/>
      <c r="J23" s="1">
        <v>1</v>
      </c>
      <c r="L23" s="3" t="s">
        <v>40</v>
      </c>
      <c r="M23" s="62">
        <f>M22-M21</f>
        <v>0</v>
      </c>
      <c r="N23" s="29"/>
      <c r="O23" s="29"/>
      <c r="P23" s="29"/>
      <c r="Q23" s="52"/>
    </row>
    <row r="24" spans="1:19">
      <c r="A24" s="1"/>
      <c r="B24" s="1"/>
      <c r="C24" s="1"/>
      <c r="D24" s="1"/>
      <c r="E24" s="1"/>
      <c r="F24" s="1"/>
      <c r="G24" s="1"/>
      <c r="H24" s="1"/>
      <c r="I24" s="1"/>
      <c r="J24" s="6">
        <v>1</v>
      </c>
    </row>
    <row r="25" spans="1:19">
      <c r="A25" s="1"/>
      <c r="B25" s="1"/>
      <c r="C25" s="1"/>
      <c r="D25" s="1"/>
      <c r="E25" s="1"/>
      <c r="F25" s="1"/>
      <c r="G25" s="1"/>
      <c r="H25" s="1"/>
      <c r="I25" s="1"/>
      <c r="J25" s="6">
        <v>1</v>
      </c>
    </row>
    <row r="26" spans="1:19" ht="15.75">
      <c r="A26" s="6"/>
      <c r="B26" s="1"/>
      <c r="C26" s="1"/>
      <c r="D26" s="1"/>
      <c r="E26" s="1"/>
      <c r="F26" s="1"/>
      <c r="G26" s="1"/>
      <c r="H26" s="1"/>
      <c r="I26" s="1"/>
      <c r="J26" s="1">
        <v>1</v>
      </c>
      <c r="L26" s="139" t="s">
        <v>41</v>
      </c>
      <c r="M26" s="139"/>
      <c r="N26" s="139"/>
      <c r="O26" s="139"/>
      <c r="P26" s="139"/>
      <c r="Q26" s="139"/>
      <c r="R26" s="139"/>
    </row>
    <row r="27" spans="1:19">
      <c r="A27" s="2"/>
      <c r="B27" s="2"/>
      <c r="C27" s="1"/>
      <c r="D27" s="1"/>
      <c r="E27" s="1"/>
      <c r="F27" s="1"/>
      <c r="G27" s="1"/>
      <c r="H27" s="1"/>
      <c r="I27" s="1"/>
      <c r="J27" s="6">
        <v>1</v>
      </c>
      <c r="L27" s="55" t="s">
        <v>14</v>
      </c>
      <c r="M27" s="15" t="s">
        <v>45</v>
      </c>
      <c r="N27" s="15" t="s">
        <v>33</v>
      </c>
      <c r="O27" s="15" t="s">
        <v>34</v>
      </c>
      <c r="P27" s="15" t="s">
        <v>35</v>
      </c>
      <c r="Q27" s="48" t="s">
        <v>63</v>
      </c>
      <c r="R27" s="48" t="s">
        <v>98</v>
      </c>
    </row>
    <row r="28" spans="1:19" ht="15.75">
      <c r="A28" s="2"/>
      <c r="B28" s="1"/>
      <c r="C28" s="1"/>
      <c r="D28" s="1"/>
      <c r="E28" s="1"/>
      <c r="F28" s="1"/>
      <c r="G28" s="1"/>
      <c r="H28" s="1"/>
      <c r="I28" s="1"/>
      <c r="J28" s="1">
        <v>1</v>
      </c>
      <c r="L28" s="58">
        <v>4</v>
      </c>
      <c r="M28" s="9">
        <f t="shared" ref="M28:M33" si="6">N10-$M$23</f>
        <v>0</v>
      </c>
      <c r="N28" s="12">
        <f>Table16182047[[#This Row],[GP can lose]]/$M$39</f>
        <v>0</v>
      </c>
      <c r="O28" s="12">
        <f>Table16182047[[#This Row],[GP can lose]]/$M$40</f>
        <v>0</v>
      </c>
      <c r="P28" s="12">
        <f>Table16182047[[#This Row],[GP can lose]]/$M$41</f>
        <v>0</v>
      </c>
      <c r="Q28" s="12">
        <f>Table16182047[[#This Row],[GP can lose]]/$M$42</f>
        <v>0</v>
      </c>
      <c r="R28" s="49">
        <f>Table16182047[[#This Row],[GP can lose]]/$M$43</f>
        <v>0</v>
      </c>
    </row>
    <row r="29" spans="1:19" ht="15.75">
      <c r="A29" s="6"/>
      <c r="B29" s="1"/>
      <c r="C29" s="1"/>
      <c r="D29" s="1"/>
      <c r="E29" s="1"/>
      <c r="F29" s="1"/>
      <c r="G29" s="1"/>
      <c r="H29" s="1"/>
      <c r="I29" s="1"/>
      <c r="J29" s="1">
        <v>1</v>
      </c>
      <c r="L29" s="58">
        <v>3.8</v>
      </c>
      <c r="M29" s="9">
        <f t="shared" si="6"/>
        <v>0</v>
      </c>
      <c r="N29" s="12">
        <f>Table16182047[[#This Row],[GP can lose]]/$M$39</f>
        <v>0</v>
      </c>
      <c r="O29" s="12">
        <f>Table16182047[[#This Row],[GP can lose]]/$M$40</f>
        <v>0</v>
      </c>
      <c r="P29" s="12">
        <f>Table16182047[[#This Row],[GP can lose]]/$M$41</f>
        <v>0</v>
      </c>
      <c r="Q29" s="12">
        <f>Table16182047[[#This Row],[GP can lose]]/$M$42</f>
        <v>0</v>
      </c>
      <c r="R29" s="49">
        <f>Table16182047[[#This Row],[GP can lose]]/$M$43</f>
        <v>0</v>
      </c>
    </row>
    <row r="30" spans="1:19" ht="15.75">
      <c r="A30" s="1"/>
      <c r="B30" s="1"/>
      <c r="C30" s="1"/>
      <c r="D30" s="1"/>
      <c r="E30" s="1"/>
      <c r="F30" s="1"/>
      <c r="G30" s="1"/>
      <c r="H30" s="1"/>
      <c r="I30" s="1"/>
      <c r="J30" s="2">
        <v>1</v>
      </c>
      <c r="L30" s="58">
        <v>3.5</v>
      </c>
      <c r="M30" s="9">
        <f t="shared" si="6"/>
        <v>0</v>
      </c>
      <c r="N30" s="12">
        <f>Table16182047[[#This Row],[GP can lose]]/$M$39</f>
        <v>0</v>
      </c>
      <c r="O30" s="12">
        <f>Table16182047[[#This Row],[GP can lose]]/$M$40</f>
        <v>0</v>
      </c>
      <c r="P30" s="12">
        <f>Table16182047[[#This Row],[GP can lose]]/$M$41</f>
        <v>0</v>
      </c>
      <c r="Q30" s="12">
        <f>Table16182047[[#This Row],[GP can lose]]/$M$42</f>
        <v>0</v>
      </c>
      <c r="R30" s="49">
        <f>Table16182047[[#This Row],[GP can lose]]/$M$43</f>
        <v>0</v>
      </c>
    </row>
    <row r="31" spans="1:19" ht="15.75">
      <c r="A31" s="1"/>
      <c r="B31" s="1"/>
      <c r="C31" s="1"/>
      <c r="D31" s="1"/>
      <c r="E31" s="1"/>
      <c r="F31" s="1"/>
      <c r="G31" s="1"/>
      <c r="H31" s="1"/>
      <c r="I31" s="1"/>
      <c r="J31" s="1">
        <v>1</v>
      </c>
      <c r="L31" s="58">
        <v>3</v>
      </c>
      <c r="M31" s="9">
        <f t="shared" si="6"/>
        <v>0</v>
      </c>
      <c r="N31" s="12">
        <f>Table16182047[[#This Row],[GP can lose]]/$M$39</f>
        <v>0</v>
      </c>
      <c r="O31" s="12">
        <f>Table16182047[[#This Row],[GP can lose]]/$M$40</f>
        <v>0</v>
      </c>
      <c r="P31" s="12">
        <f>Table16182047[[#This Row],[GP can lose]]/$M$41</f>
        <v>0</v>
      </c>
      <c r="Q31" s="12">
        <f>Table16182047[[#This Row],[GP can lose]]/$M$42</f>
        <v>0</v>
      </c>
      <c r="R31" s="49">
        <f>Table16182047[[#This Row],[GP can lose]]/$M$43</f>
        <v>0</v>
      </c>
    </row>
    <row r="32" spans="1:19" ht="15.75">
      <c r="A32" s="1"/>
      <c r="B32" s="1"/>
      <c r="C32" s="1"/>
      <c r="D32" s="1"/>
      <c r="E32" s="1"/>
      <c r="F32" s="1"/>
      <c r="G32" s="1"/>
      <c r="H32" s="1"/>
      <c r="I32" s="1"/>
      <c r="J32" s="1">
        <v>1</v>
      </c>
      <c r="L32" s="58">
        <v>2.8</v>
      </c>
      <c r="M32" s="9">
        <f t="shared" si="6"/>
        <v>0</v>
      </c>
      <c r="N32" s="12">
        <f>Table16182047[[#This Row],[GP can lose]]/$M$39</f>
        <v>0</v>
      </c>
      <c r="O32" s="12">
        <f>Table16182047[[#This Row],[GP can lose]]/$M$40</f>
        <v>0</v>
      </c>
      <c r="P32" s="12">
        <f>Table16182047[[#This Row],[GP can lose]]/$M$41</f>
        <v>0</v>
      </c>
      <c r="Q32" s="12">
        <f>Table16182047[[#This Row],[GP can lose]]/$M$42</f>
        <v>0</v>
      </c>
      <c r="R32" s="49">
        <f>Table16182047[[#This Row],[GP can lose]]/$M$43</f>
        <v>0</v>
      </c>
    </row>
    <row r="33" spans="1:18" ht="15.75">
      <c r="A33" s="6"/>
      <c r="B33" s="1"/>
      <c r="C33" s="1"/>
      <c r="D33" s="1"/>
      <c r="E33" s="1"/>
      <c r="F33" s="1"/>
      <c r="G33" s="1"/>
      <c r="H33" s="1"/>
      <c r="I33" s="1"/>
      <c r="J33" s="6">
        <v>1</v>
      </c>
      <c r="L33" s="58">
        <v>2.5</v>
      </c>
      <c r="M33" s="57">
        <f t="shared" si="6"/>
        <v>0</v>
      </c>
      <c r="N33" s="12">
        <f>Table16182047[[#This Row],[GP can lose]]/$M$39</f>
        <v>0</v>
      </c>
      <c r="O33" s="12">
        <f>Table16182047[[#This Row],[GP can lose]]/$M$40</f>
        <v>0</v>
      </c>
      <c r="P33" s="12">
        <f>Table16182047[[#This Row],[GP can lose]]/$M$41</f>
        <v>0</v>
      </c>
      <c r="Q33" s="12">
        <f>Table16182047[[#This Row],[GP can lose]]/$M$42</f>
        <v>0</v>
      </c>
      <c r="R33" s="49">
        <f>Table16182047[[#This Row],[GP can lose]]/$M$43</f>
        <v>0</v>
      </c>
    </row>
    <row r="34" spans="1:18">
      <c r="A34" s="1"/>
      <c r="B34" s="1"/>
      <c r="C34" s="1"/>
      <c r="D34" s="1"/>
      <c r="E34" s="1"/>
      <c r="F34" s="1"/>
      <c r="G34" s="1"/>
      <c r="H34" s="1"/>
      <c r="I34" s="1"/>
      <c r="J34" s="1">
        <v>1</v>
      </c>
      <c r="M34" s="8"/>
    </row>
    <row r="35" spans="1:18">
      <c r="A35" s="1"/>
      <c r="B35" s="1"/>
      <c r="C35" s="1"/>
      <c r="D35" s="1"/>
      <c r="E35" s="1"/>
      <c r="F35" s="1"/>
      <c r="G35" s="1"/>
      <c r="H35" s="1"/>
      <c r="I35" s="1"/>
      <c r="J35" s="6">
        <v>1</v>
      </c>
    </row>
    <row r="36" spans="1:18">
      <c r="A36" s="1"/>
      <c r="B36" s="14"/>
      <c r="C36" s="1"/>
      <c r="D36" s="1"/>
      <c r="E36" s="1"/>
      <c r="F36" s="1"/>
      <c r="G36" s="1"/>
      <c r="H36" s="1"/>
      <c r="I36" s="1"/>
      <c r="J36" s="6">
        <v>1</v>
      </c>
    </row>
    <row r="37" spans="1:18">
      <c r="A37" s="1"/>
      <c r="B37" s="14"/>
      <c r="C37" s="1"/>
      <c r="D37" s="1"/>
      <c r="E37" s="1"/>
      <c r="F37" s="1"/>
      <c r="G37" s="1"/>
      <c r="H37" s="1"/>
      <c r="I37" s="1"/>
      <c r="J37" s="1">
        <v>1</v>
      </c>
      <c r="L37" s="54" t="s">
        <v>47</v>
      </c>
      <c r="M37" s="54"/>
    </row>
    <row r="38" spans="1:18">
      <c r="A38" s="1"/>
      <c r="B38" s="14"/>
      <c r="C38" s="1"/>
      <c r="D38" s="1"/>
      <c r="E38" s="1"/>
      <c r="F38" s="1"/>
      <c r="G38" s="1"/>
      <c r="H38" s="1"/>
      <c r="I38" s="1"/>
      <c r="J38" s="2">
        <v>1</v>
      </c>
      <c r="L38" s="54" t="s">
        <v>48</v>
      </c>
      <c r="M38" s="54">
        <f>3*4-3*4</f>
        <v>0</v>
      </c>
    </row>
    <row r="39" spans="1:18">
      <c r="A39" s="1"/>
      <c r="B39" s="1"/>
      <c r="C39" s="1"/>
      <c r="D39" s="1"/>
      <c r="E39" s="1"/>
      <c r="F39" s="1"/>
      <c r="G39" s="1"/>
      <c r="H39" s="1"/>
      <c r="I39" s="1"/>
      <c r="J39" s="1">
        <v>1</v>
      </c>
      <c r="L39" s="54" t="s">
        <v>49</v>
      </c>
      <c r="M39" s="54">
        <f>3*4-3*3.67</f>
        <v>0.99000000000000021</v>
      </c>
    </row>
    <row r="40" spans="1:18">
      <c r="A40" s="2"/>
      <c r="B40" s="1"/>
      <c r="C40" s="1"/>
      <c r="D40" s="1"/>
      <c r="E40" s="1"/>
      <c r="F40" s="1"/>
      <c r="G40" s="1"/>
      <c r="H40" s="1"/>
      <c r="I40" s="1"/>
      <c r="J40" s="1">
        <v>1</v>
      </c>
      <c r="L40" s="54" t="s">
        <v>50</v>
      </c>
      <c r="M40" s="54">
        <f>3*4-3*3</f>
        <v>3</v>
      </c>
    </row>
    <row r="41" spans="1:18">
      <c r="A41" s="2"/>
      <c r="B41" s="1"/>
      <c r="C41" s="1"/>
      <c r="D41" s="1"/>
      <c r="E41" s="1"/>
      <c r="F41" s="1"/>
      <c r="G41" s="1"/>
      <c r="H41" s="1"/>
      <c r="I41" s="1"/>
      <c r="J41" s="1">
        <v>1</v>
      </c>
      <c r="L41" s="54" t="s">
        <v>51</v>
      </c>
      <c r="M41" s="54">
        <f>3*4-3*2</f>
        <v>6</v>
      </c>
    </row>
    <row r="42" spans="1:18">
      <c r="A42" s="7"/>
      <c r="B42" s="7"/>
      <c r="C42" s="7"/>
      <c r="D42" s="1"/>
      <c r="E42" s="18"/>
      <c r="F42" s="7"/>
      <c r="G42" s="1"/>
      <c r="H42" s="7"/>
      <c r="I42" s="7"/>
      <c r="J42" s="1">
        <v>1</v>
      </c>
      <c r="L42" s="54" t="s">
        <v>52</v>
      </c>
      <c r="M42" s="54">
        <f>3*4-3*1</f>
        <v>9</v>
      </c>
    </row>
    <row r="43" spans="1:18">
      <c r="A43" s="2"/>
      <c r="B43" s="1"/>
      <c r="C43" s="1"/>
      <c r="D43" s="1"/>
      <c r="E43" s="1"/>
      <c r="F43" s="1"/>
      <c r="G43" s="1"/>
      <c r="H43" s="1"/>
      <c r="I43" s="1"/>
      <c r="J43" s="6">
        <v>1</v>
      </c>
      <c r="L43" s="54" t="s">
        <v>53</v>
      </c>
      <c r="M43" s="54">
        <f>3*4-3*0</f>
        <v>12</v>
      </c>
    </row>
    <row r="44" spans="1:18">
      <c r="A44" s="6"/>
      <c r="B44" s="1"/>
      <c r="C44" s="1"/>
      <c r="D44" s="1"/>
      <c r="E44" s="1"/>
      <c r="F44" s="1"/>
      <c r="G44" s="1"/>
      <c r="H44" s="1"/>
      <c r="I44" s="1"/>
      <c r="J44" s="1">
        <v>1</v>
      </c>
    </row>
    <row r="45" spans="1:18">
      <c r="A45" s="1"/>
      <c r="B45" s="1"/>
      <c r="C45" s="1"/>
      <c r="D45" s="1"/>
      <c r="E45" s="1"/>
      <c r="F45" s="1"/>
      <c r="G45" s="1"/>
      <c r="H45" s="1"/>
      <c r="I45" s="1"/>
      <c r="J45" s="6">
        <v>1</v>
      </c>
    </row>
    <row r="46" spans="1:18">
      <c r="A46" s="6"/>
      <c r="B46" s="1"/>
      <c r="C46" s="1"/>
      <c r="D46" s="1"/>
      <c r="E46" s="1"/>
      <c r="F46" s="1"/>
      <c r="G46" s="1"/>
      <c r="H46" s="1"/>
      <c r="I46" s="1"/>
      <c r="J46" s="2">
        <v>1</v>
      </c>
    </row>
    <row r="47" spans="1:18">
      <c r="A47" s="6"/>
      <c r="B47" s="13"/>
      <c r="C47" s="1"/>
      <c r="D47" s="1"/>
      <c r="E47" s="1"/>
      <c r="F47" s="1"/>
      <c r="G47" s="1"/>
      <c r="H47" s="1"/>
      <c r="I47" s="1"/>
      <c r="J47" s="1">
        <v>1</v>
      </c>
    </row>
    <row r="48" spans="1:18" ht="15" customHeight="1">
      <c r="A48" s="2"/>
      <c r="B48" s="2"/>
      <c r="C48" s="1"/>
      <c r="D48" s="1"/>
      <c r="E48" s="1"/>
      <c r="F48" s="1"/>
      <c r="G48" s="1"/>
      <c r="H48" s="1"/>
      <c r="I48" s="1"/>
      <c r="J48" s="1">
        <v>1</v>
      </c>
    </row>
    <row r="49" spans="1:15">
      <c r="A49" s="2"/>
      <c r="B49" s="1"/>
      <c r="C49" s="1"/>
      <c r="D49" s="1"/>
      <c r="E49" s="1"/>
      <c r="F49" s="1"/>
      <c r="G49" s="1"/>
      <c r="H49" s="1"/>
      <c r="I49" s="1"/>
      <c r="J49" s="1">
        <v>1</v>
      </c>
    </row>
    <row r="50" spans="1:15">
      <c r="A50" s="2"/>
      <c r="B50" s="2"/>
      <c r="C50" s="1"/>
      <c r="D50" s="1"/>
      <c r="E50" s="1"/>
      <c r="F50" s="1"/>
      <c r="G50" s="1"/>
      <c r="H50" s="1"/>
      <c r="I50" s="1"/>
      <c r="J50" s="1">
        <v>1</v>
      </c>
    </row>
    <row r="51" spans="1:15" ht="15" customHeight="1">
      <c r="A51" s="1"/>
      <c r="B51" s="1"/>
      <c r="C51" s="1"/>
      <c r="D51" s="1"/>
      <c r="E51" s="1"/>
      <c r="F51" s="1"/>
      <c r="G51" s="1"/>
      <c r="H51" s="1"/>
      <c r="I51" s="1"/>
      <c r="J51" s="1">
        <v>1</v>
      </c>
    </row>
    <row r="52" spans="1:15">
      <c r="A52" s="1"/>
      <c r="B52" s="1"/>
      <c r="C52" s="1"/>
      <c r="D52" s="1"/>
      <c r="E52" s="1"/>
      <c r="F52" s="1"/>
      <c r="G52" s="1"/>
      <c r="H52" s="1"/>
      <c r="I52" s="1"/>
      <c r="J52" s="1">
        <v>1</v>
      </c>
    </row>
    <row r="53" spans="1:15">
      <c r="A53" s="6"/>
      <c r="B53" s="14"/>
      <c r="C53" s="1"/>
      <c r="D53" s="1"/>
      <c r="E53" s="1"/>
      <c r="F53" s="1"/>
      <c r="G53" s="1"/>
      <c r="H53" s="1"/>
      <c r="I53" s="1"/>
      <c r="J53" s="1">
        <v>1</v>
      </c>
    </row>
    <row r="54" spans="1:15" ht="21">
      <c r="A54" s="6"/>
      <c r="B54" s="1"/>
      <c r="C54" s="1"/>
      <c r="D54" s="1"/>
      <c r="E54" s="1"/>
      <c r="F54" s="1"/>
      <c r="G54" s="1"/>
      <c r="H54" s="1"/>
      <c r="I54" s="1"/>
      <c r="J54" s="1">
        <v>1</v>
      </c>
      <c r="K54" s="20"/>
    </row>
    <row r="55" spans="1:15">
      <c r="A55" s="1"/>
      <c r="B55" s="1"/>
      <c r="C55" s="1"/>
      <c r="D55" s="1"/>
      <c r="E55" s="1"/>
      <c r="F55" s="1"/>
      <c r="G55" s="1"/>
      <c r="H55" s="1"/>
      <c r="I55" s="1"/>
      <c r="J55" s="1">
        <v>1</v>
      </c>
    </row>
    <row r="56" spans="1:15">
      <c r="A56" s="1"/>
      <c r="B56" s="1"/>
      <c r="C56" s="1"/>
      <c r="D56" s="1"/>
      <c r="E56" s="1"/>
      <c r="F56" s="1"/>
      <c r="G56" s="1"/>
      <c r="H56" s="1"/>
      <c r="I56" s="1"/>
      <c r="J56" s="1">
        <v>1</v>
      </c>
    </row>
    <row r="57" spans="1:15">
      <c r="A57" s="6"/>
      <c r="B57" s="1"/>
      <c r="C57" s="1"/>
      <c r="D57" s="1"/>
      <c r="E57" s="1"/>
      <c r="F57" s="1"/>
      <c r="G57" s="1"/>
      <c r="H57" s="1"/>
      <c r="I57" s="1"/>
      <c r="J57" s="1">
        <v>1</v>
      </c>
    </row>
    <row r="58" spans="1:15">
      <c r="A58" s="6"/>
      <c r="B58" s="1"/>
      <c r="C58" s="1"/>
      <c r="D58" s="1"/>
      <c r="E58" s="1"/>
      <c r="F58" s="1"/>
      <c r="G58" s="1"/>
      <c r="H58" s="1"/>
      <c r="I58" s="1"/>
      <c r="J58" s="1">
        <v>1</v>
      </c>
      <c r="L58" s="21"/>
      <c r="M58" s="21"/>
      <c r="N58" s="21"/>
      <c r="O58" s="21"/>
    </row>
    <row r="59" spans="1:15">
      <c r="A59" s="6"/>
      <c r="B59" s="1"/>
      <c r="C59" s="1"/>
      <c r="D59" s="1"/>
      <c r="E59" s="1"/>
      <c r="F59" s="1"/>
      <c r="G59" s="1"/>
      <c r="H59" s="1"/>
      <c r="I59" s="1"/>
      <c r="J59" s="1">
        <v>1</v>
      </c>
    </row>
    <row r="60" spans="1:15">
      <c r="A60" s="6"/>
      <c r="B60" s="1"/>
      <c r="C60" s="1"/>
      <c r="D60" s="1"/>
      <c r="E60" s="1"/>
      <c r="F60" s="1"/>
      <c r="G60" s="1"/>
      <c r="H60" s="1"/>
      <c r="I60" s="1"/>
      <c r="J60" s="1">
        <v>1</v>
      </c>
      <c r="L60" s="22"/>
    </row>
    <row r="61" spans="1:15">
      <c r="A61" s="6"/>
      <c r="B61" s="1"/>
      <c r="C61" s="1"/>
      <c r="D61" s="1"/>
      <c r="E61" s="1"/>
      <c r="F61" s="1"/>
      <c r="G61" s="1"/>
      <c r="H61" s="1"/>
      <c r="I61" s="1"/>
      <c r="J61" s="1">
        <v>1</v>
      </c>
      <c r="L61" s="22"/>
    </row>
    <row r="62" spans="1:15">
      <c r="A62" s="6"/>
      <c r="B62" s="1"/>
      <c r="C62" s="1"/>
      <c r="D62" s="1"/>
      <c r="E62" s="1"/>
      <c r="F62" s="1"/>
      <c r="G62" s="1"/>
      <c r="H62" s="1"/>
      <c r="I62" s="1"/>
      <c r="J62" s="1">
        <v>1</v>
      </c>
      <c r="L62" s="22"/>
    </row>
    <row r="63" spans="1:15">
      <c r="C63" s="3" t="s">
        <v>4</v>
      </c>
      <c r="D63" s="5">
        <f>SUBTOTAL(109,COURSELIST[Credits])</f>
        <v>0</v>
      </c>
      <c r="F63" s="3" t="s">
        <v>36</v>
      </c>
      <c r="G63" s="3">
        <f>COUNTIFS(COURSELIST[Complete],"Y",COURSELIST[Complete],"y")</f>
        <v>0</v>
      </c>
      <c r="H63" s="3">
        <f>SUBTOTAL(109,COURSELIST[Grade Points])</f>
        <v>0</v>
      </c>
      <c r="L63" s="22"/>
    </row>
    <row r="64" spans="1:15" ht="42.75" customHeight="1">
      <c r="A64" s="138" t="s">
        <v>84</v>
      </c>
      <c r="B64" s="138"/>
      <c r="C64" s="138"/>
      <c r="D64" s="138"/>
      <c r="E64" s="138"/>
      <c r="F64" s="138"/>
      <c r="G64" s="138"/>
      <c r="H64" s="138"/>
      <c r="I64" s="138"/>
      <c r="J64" s="138"/>
      <c r="L64" s="22"/>
    </row>
    <row r="65" spans="1:12">
      <c r="A65" s="30"/>
      <c r="B65" s="35"/>
      <c r="C65" s="35"/>
      <c r="D65" s="35"/>
      <c r="E65" s="35"/>
      <c r="F65" s="30"/>
      <c r="G65" s="30"/>
      <c r="H65" s="30"/>
      <c r="I65" s="1"/>
      <c r="L65" s="22"/>
    </row>
    <row r="66" spans="1:12">
      <c r="A66" s="30"/>
      <c r="B66" s="35"/>
      <c r="C66" s="35"/>
      <c r="D66" s="35"/>
      <c r="E66" s="35"/>
      <c r="F66" s="31"/>
      <c r="G66" s="31"/>
      <c r="H66" s="31"/>
      <c r="I66" s="6"/>
      <c r="L66" s="22"/>
    </row>
    <row r="67" spans="1:12">
      <c r="A67" s="30"/>
      <c r="B67" s="30"/>
      <c r="C67" s="30"/>
      <c r="D67" s="30"/>
      <c r="E67" s="30"/>
      <c r="F67" s="32"/>
      <c r="G67" s="32"/>
      <c r="H67" s="32"/>
      <c r="I67" s="2"/>
      <c r="L67" s="22"/>
    </row>
    <row r="68" spans="1:12">
      <c r="A68" s="30"/>
      <c r="B68" s="30"/>
      <c r="C68" s="30"/>
      <c r="D68" s="30"/>
      <c r="E68" s="30"/>
      <c r="F68" s="32"/>
      <c r="G68" s="32"/>
      <c r="H68" s="32"/>
      <c r="I68" s="2"/>
    </row>
    <row r="69" spans="1:12" ht="19.5">
      <c r="A69" s="33"/>
      <c r="B69" s="30"/>
      <c r="C69" s="30"/>
      <c r="D69" s="30"/>
      <c r="E69" s="30"/>
      <c r="F69" s="31"/>
      <c r="G69" s="31"/>
      <c r="H69" s="31"/>
      <c r="I69" s="6"/>
    </row>
    <row r="70" spans="1:12" ht="18" customHeight="1">
      <c r="A70" s="137"/>
      <c r="B70" s="137"/>
      <c r="C70" s="137"/>
      <c r="D70" s="137"/>
      <c r="E70" s="30"/>
      <c r="F70" s="31"/>
      <c r="G70" s="31"/>
      <c r="H70" s="31"/>
      <c r="I70" s="6"/>
    </row>
    <row r="71" spans="1:12">
      <c r="A71" s="34"/>
      <c r="B71" s="34"/>
      <c r="C71" s="34"/>
      <c r="D71" s="34"/>
      <c r="E71" s="30"/>
      <c r="F71" s="30"/>
      <c r="G71" s="30"/>
      <c r="H71" s="30"/>
      <c r="I71" s="1"/>
    </row>
    <row r="72" spans="1:12">
      <c r="A72" s="34"/>
      <c r="B72" s="34"/>
      <c r="C72" s="34"/>
      <c r="D72" s="34"/>
      <c r="E72" s="30"/>
      <c r="F72" s="30"/>
      <c r="G72" s="30"/>
      <c r="H72" s="30"/>
      <c r="I72" s="1"/>
    </row>
    <row r="73" spans="1:12">
      <c r="A73" s="34"/>
      <c r="B73" s="34"/>
      <c r="C73" s="34"/>
      <c r="D73" s="34"/>
      <c r="E73" s="30"/>
      <c r="F73" s="30"/>
      <c r="G73" s="30"/>
      <c r="H73" s="30"/>
      <c r="I73" s="1"/>
    </row>
    <row r="74" spans="1:12" ht="18" customHeight="1">
      <c r="A74" s="137"/>
      <c r="B74" s="137"/>
      <c r="C74" s="137"/>
      <c r="D74" s="137"/>
      <c r="E74" s="30"/>
      <c r="F74" s="30"/>
      <c r="G74" s="30"/>
      <c r="H74" s="30"/>
      <c r="I74" s="1"/>
    </row>
    <row r="75" spans="1:12">
      <c r="A75" s="34"/>
      <c r="B75" s="34"/>
      <c r="C75" s="34"/>
      <c r="D75" s="34"/>
      <c r="E75" s="30"/>
      <c r="F75" s="30"/>
      <c r="G75" s="30"/>
      <c r="H75" s="30"/>
      <c r="I75" s="1"/>
    </row>
    <row r="76" spans="1:12">
      <c r="A76" s="34"/>
      <c r="B76" s="34"/>
      <c r="C76" s="34"/>
      <c r="D76" s="34"/>
      <c r="E76" s="30"/>
      <c r="F76" s="30"/>
      <c r="G76" s="30"/>
      <c r="H76" s="30"/>
      <c r="I76" s="1"/>
    </row>
    <row r="77" spans="1:12">
      <c r="A77" s="34"/>
      <c r="B77" s="34"/>
      <c r="C77" s="34"/>
      <c r="D77" s="34"/>
      <c r="E77" s="30"/>
      <c r="F77" s="30"/>
      <c r="G77" s="30"/>
      <c r="H77" s="30"/>
      <c r="I77" s="1"/>
    </row>
    <row r="78" spans="1:12" ht="18" customHeight="1">
      <c r="A78" s="137"/>
      <c r="B78" s="137"/>
      <c r="C78" s="137"/>
      <c r="D78" s="137"/>
      <c r="E78" s="30"/>
      <c r="F78" s="30"/>
      <c r="G78" s="30"/>
      <c r="H78" s="30"/>
      <c r="I78" s="1"/>
    </row>
    <row r="79" spans="1:12">
      <c r="A79" s="34"/>
      <c r="B79" s="34"/>
      <c r="C79" s="34"/>
      <c r="D79" s="34"/>
      <c r="E79" s="30"/>
      <c r="F79" s="30"/>
      <c r="G79" s="30"/>
      <c r="H79" s="30"/>
      <c r="I79" s="1"/>
    </row>
    <row r="80" spans="1:12">
      <c r="A80" s="34"/>
      <c r="B80" s="34"/>
      <c r="C80" s="34"/>
      <c r="D80" s="34"/>
      <c r="E80" s="30"/>
      <c r="F80" s="30"/>
      <c r="G80" s="30"/>
      <c r="H80" s="30"/>
      <c r="I80" s="1"/>
    </row>
    <row r="81" spans="1:9">
      <c r="A81" s="34"/>
      <c r="B81" s="34"/>
      <c r="C81" s="34"/>
      <c r="D81" s="34"/>
      <c r="E81" s="30"/>
      <c r="F81" s="30"/>
      <c r="G81" s="30"/>
      <c r="H81" s="30"/>
      <c r="I81" s="1"/>
    </row>
    <row r="82" spans="1:9">
      <c r="A82" s="34"/>
      <c r="B82" s="34"/>
      <c r="C82" s="34"/>
      <c r="D82" s="34"/>
      <c r="E82" s="30"/>
      <c r="F82" s="30"/>
      <c r="G82" s="30"/>
      <c r="H82" s="30"/>
      <c r="I82" s="1"/>
    </row>
    <row r="83" spans="1:9" ht="18" customHeight="1">
      <c r="A83" s="137"/>
      <c r="B83" s="137"/>
      <c r="C83" s="137"/>
      <c r="D83" s="137"/>
      <c r="E83" s="30"/>
      <c r="F83" s="30"/>
      <c r="G83" s="30"/>
      <c r="H83" s="30"/>
      <c r="I83" s="1"/>
    </row>
    <row r="84" spans="1:9">
      <c r="A84" s="34"/>
      <c r="B84" s="34"/>
      <c r="C84" s="34"/>
      <c r="D84" s="34"/>
      <c r="E84" s="30"/>
      <c r="F84" s="30"/>
      <c r="G84" s="30"/>
      <c r="H84" s="30"/>
      <c r="I84" s="1"/>
    </row>
    <row r="85" spans="1:9">
      <c r="A85" s="34"/>
      <c r="B85" s="34"/>
      <c r="C85" s="34"/>
      <c r="D85" s="34"/>
      <c r="E85" s="30"/>
      <c r="F85" s="30"/>
      <c r="G85" s="30"/>
      <c r="H85" s="30"/>
      <c r="I85" s="1"/>
    </row>
    <row r="86" spans="1:9">
      <c r="A86" s="34"/>
      <c r="B86" s="34"/>
      <c r="C86" s="34"/>
      <c r="D86" s="34"/>
      <c r="E86" s="30"/>
      <c r="F86" s="30"/>
      <c r="G86" s="30"/>
      <c r="H86" s="30"/>
      <c r="I86" s="1"/>
    </row>
    <row r="87" spans="1:9">
      <c r="A87" s="30"/>
      <c r="B87" s="30"/>
      <c r="C87" s="30"/>
      <c r="D87" s="30"/>
      <c r="E87" s="30"/>
      <c r="F87" s="30"/>
      <c r="G87" s="30"/>
      <c r="H87" s="30"/>
      <c r="I87" s="1"/>
    </row>
    <row r="88" spans="1:9">
      <c r="A88" s="1"/>
      <c r="B88" s="1"/>
      <c r="C88" s="1"/>
      <c r="D88" s="1"/>
      <c r="E88" s="1"/>
      <c r="F88" s="1"/>
      <c r="G88" s="1"/>
      <c r="H88" s="1"/>
      <c r="I88" s="1"/>
    </row>
    <row r="89" spans="1:9">
      <c r="A89" s="1"/>
      <c r="B89" s="1"/>
      <c r="C89" s="1"/>
      <c r="D89" s="1"/>
      <c r="E89" s="1"/>
      <c r="F89" s="1"/>
      <c r="G89" s="1"/>
      <c r="H89" s="1"/>
      <c r="I89" s="1"/>
    </row>
    <row r="90" spans="1:9">
      <c r="A90" s="1"/>
      <c r="B90" s="1"/>
      <c r="C90" s="1"/>
      <c r="D90" s="1"/>
      <c r="E90" s="1"/>
      <c r="F90" s="1"/>
      <c r="G90" s="1"/>
      <c r="H90" s="1"/>
      <c r="I90" s="1"/>
    </row>
    <row r="91" spans="1:9">
      <c r="A91" s="1"/>
      <c r="B91" s="1"/>
      <c r="C91" s="1"/>
      <c r="D91" s="1"/>
      <c r="E91" s="1"/>
      <c r="F91" s="1"/>
      <c r="G91" s="1"/>
      <c r="H91" s="1"/>
      <c r="I91" s="1"/>
    </row>
    <row r="92" spans="1:9">
      <c r="A92" s="1"/>
      <c r="B92" s="1"/>
      <c r="C92" s="1"/>
      <c r="D92" s="1"/>
      <c r="E92" s="1"/>
      <c r="F92" s="1"/>
      <c r="G92" s="1"/>
      <c r="H92" s="1"/>
      <c r="I92" s="1"/>
    </row>
    <row r="93" spans="1:9">
      <c r="A93" s="1"/>
      <c r="B93" s="1"/>
      <c r="C93" s="1"/>
      <c r="D93" s="1"/>
      <c r="E93" s="1"/>
      <c r="F93" s="1"/>
      <c r="G93" s="1"/>
      <c r="H93" s="1"/>
      <c r="I93" s="1"/>
    </row>
    <row r="94" spans="1:9">
      <c r="A94" s="1"/>
      <c r="B94" s="1"/>
      <c r="C94" s="1"/>
      <c r="D94" s="1"/>
      <c r="E94" s="1"/>
      <c r="F94" s="1"/>
      <c r="G94" s="1"/>
      <c r="H94" s="1"/>
      <c r="I94" s="1"/>
    </row>
    <row r="95" spans="1:9">
      <c r="A95" s="1"/>
      <c r="B95" s="1"/>
      <c r="C95" s="1"/>
      <c r="D95" s="1"/>
      <c r="E95" s="1"/>
      <c r="F95" s="1"/>
      <c r="G95" s="1"/>
      <c r="H95" s="1"/>
      <c r="I95" s="1"/>
    </row>
    <row r="96" spans="1:9">
      <c r="A96" s="1"/>
      <c r="B96" s="1"/>
      <c r="C96" s="1"/>
      <c r="D96" s="1"/>
      <c r="E96" s="1"/>
      <c r="F96" s="1"/>
      <c r="G96" s="1"/>
      <c r="H96" s="1"/>
      <c r="I96" s="1"/>
    </row>
    <row r="97" spans="1:9">
      <c r="A97" s="1"/>
      <c r="B97" s="1"/>
      <c r="C97" s="1"/>
      <c r="D97" s="1"/>
      <c r="E97" s="1"/>
      <c r="F97" s="1"/>
      <c r="G97" s="1"/>
      <c r="H97" s="1"/>
      <c r="I97" s="1"/>
    </row>
    <row r="98" spans="1:9">
      <c r="A98" s="1"/>
      <c r="B98" s="1"/>
      <c r="C98" s="1"/>
      <c r="D98" s="1"/>
      <c r="E98" s="1"/>
      <c r="F98" s="1"/>
      <c r="G98" s="1"/>
      <c r="H98" s="1"/>
      <c r="I98" s="1"/>
    </row>
    <row r="99" spans="1:9">
      <c r="A99" s="1"/>
      <c r="B99" s="1"/>
      <c r="C99" s="1"/>
      <c r="D99" s="1"/>
      <c r="E99" s="1"/>
      <c r="F99" s="1"/>
      <c r="G99" s="1"/>
      <c r="H99" s="1"/>
      <c r="I99" s="1"/>
    </row>
    <row r="100" spans="1:9">
      <c r="A100" s="1"/>
      <c r="B100" s="1"/>
      <c r="C100" s="1"/>
      <c r="D100" s="1"/>
      <c r="E100" s="1"/>
      <c r="F100" s="1"/>
      <c r="G100" s="1"/>
      <c r="H100" s="1"/>
      <c r="I100" s="1"/>
    </row>
    <row r="101" spans="1:9">
      <c r="A101" s="1"/>
      <c r="B101" s="1"/>
      <c r="C101" s="1"/>
      <c r="D101" s="1"/>
      <c r="E101" s="1"/>
      <c r="F101" s="1"/>
      <c r="G101" s="1"/>
      <c r="H101" s="1"/>
      <c r="I101" s="1"/>
    </row>
    <row r="102" spans="1:9">
      <c r="A102" s="1"/>
      <c r="B102" s="1"/>
      <c r="C102" s="1"/>
      <c r="D102" s="1"/>
      <c r="E102" s="1"/>
      <c r="F102" s="1"/>
      <c r="G102" s="1"/>
      <c r="H102" s="1"/>
      <c r="I102" s="1"/>
    </row>
    <row r="103" spans="1:9">
      <c r="A103" s="1"/>
      <c r="B103" s="1"/>
      <c r="C103" s="1"/>
      <c r="D103" s="1"/>
      <c r="E103" s="1"/>
      <c r="F103" s="1"/>
      <c r="G103" s="1"/>
      <c r="H103" s="1"/>
      <c r="I103" s="1"/>
    </row>
    <row r="104" spans="1:9">
      <c r="A104" s="1"/>
      <c r="B104" s="1"/>
      <c r="C104" s="1"/>
      <c r="D104" s="1"/>
      <c r="E104" s="1"/>
      <c r="F104" s="1"/>
      <c r="G104" s="1"/>
      <c r="H104" s="1"/>
      <c r="I104" s="1"/>
    </row>
    <row r="105" spans="1:9">
      <c r="A105" s="1"/>
      <c r="B105" s="1"/>
      <c r="C105" s="1"/>
      <c r="D105" s="1"/>
      <c r="E105" s="1"/>
      <c r="F105" s="1"/>
      <c r="G105" s="1"/>
      <c r="H105" s="1"/>
      <c r="I105" s="1"/>
    </row>
    <row r="106" spans="1:9">
      <c r="A106" s="1"/>
      <c r="B106" s="1"/>
      <c r="C106" s="1"/>
      <c r="D106" s="1"/>
      <c r="E106" s="1"/>
      <c r="F106" s="1"/>
      <c r="G106" s="1"/>
      <c r="H106" s="1"/>
      <c r="I106" s="1"/>
    </row>
    <row r="107" spans="1:9">
      <c r="A107" s="1"/>
      <c r="B107" s="1"/>
      <c r="C107" s="1"/>
      <c r="D107" s="1"/>
      <c r="E107" s="1"/>
      <c r="F107" s="1"/>
      <c r="G107" s="1"/>
      <c r="H107" s="1"/>
      <c r="I107" s="1"/>
    </row>
    <row r="108" spans="1:9">
      <c r="A108" s="1"/>
      <c r="B108" s="1"/>
      <c r="C108" s="1"/>
      <c r="D108" s="1"/>
      <c r="E108" s="1"/>
      <c r="F108" s="1"/>
      <c r="G108" s="1"/>
      <c r="H108" s="1"/>
      <c r="I108" s="1"/>
    </row>
    <row r="109" spans="1:9">
      <c r="A109" s="1"/>
      <c r="B109" s="1"/>
      <c r="C109" s="1"/>
      <c r="D109" s="1"/>
      <c r="E109" s="1"/>
      <c r="F109" s="1"/>
      <c r="G109" s="1"/>
      <c r="H109" s="1"/>
      <c r="I109" s="1"/>
    </row>
    <row r="110" spans="1:9">
      <c r="A110" s="1"/>
      <c r="B110" s="1"/>
      <c r="C110" s="1"/>
      <c r="D110" s="1"/>
      <c r="E110" s="1"/>
      <c r="F110" s="1"/>
      <c r="G110" s="1"/>
      <c r="H110" s="1"/>
      <c r="I110" s="1"/>
    </row>
    <row r="111" spans="1:9">
      <c r="A111" s="1"/>
      <c r="B111" s="1"/>
      <c r="C111" s="1"/>
      <c r="D111" s="1"/>
      <c r="E111" s="1"/>
      <c r="F111" s="1"/>
      <c r="G111" s="1"/>
      <c r="H111" s="1"/>
      <c r="I111" s="1"/>
    </row>
    <row r="112" spans="1:9">
      <c r="A112" s="1"/>
      <c r="B112" s="1"/>
      <c r="C112" s="1"/>
      <c r="D112" s="1"/>
      <c r="E112" s="1"/>
      <c r="F112" s="1"/>
      <c r="G112" s="1"/>
      <c r="H112" s="1"/>
      <c r="I112" s="1"/>
    </row>
    <row r="113" spans="1:9">
      <c r="A113" s="1"/>
      <c r="B113" s="1"/>
      <c r="C113" s="1"/>
      <c r="D113" s="1"/>
      <c r="E113" s="1"/>
      <c r="F113" s="1"/>
      <c r="G113" s="1"/>
      <c r="H113" s="1"/>
      <c r="I113" s="1"/>
    </row>
    <row r="114" spans="1:9">
      <c r="A114" s="1"/>
      <c r="B114" s="1"/>
      <c r="C114" s="1"/>
      <c r="D114" s="1"/>
      <c r="E114" s="1"/>
      <c r="F114" s="1"/>
      <c r="G114" s="1"/>
      <c r="H114" s="1"/>
      <c r="I114" s="1"/>
    </row>
    <row r="115" spans="1:9">
      <c r="A115" s="1"/>
      <c r="B115" s="1"/>
      <c r="C115" s="1"/>
      <c r="D115" s="1"/>
      <c r="E115" s="1"/>
      <c r="F115" s="1"/>
      <c r="G115" s="1"/>
      <c r="H115" s="1"/>
      <c r="I115" s="1"/>
    </row>
    <row r="116" spans="1:9">
      <c r="A116" s="1"/>
      <c r="B116" s="1"/>
      <c r="C116" s="1"/>
      <c r="D116" s="1"/>
      <c r="E116" s="1"/>
      <c r="F116" s="1"/>
      <c r="G116" s="1"/>
      <c r="H116" s="1"/>
      <c r="I116" s="1"/>
    </row>
    <row r="117" spans="1:9">
      <c r="A117" s="1"/>
      <c r="B117" s="1"/>
      <c r="C117" s="1"/>
      <c r="D117" s="1"/>
      <c r="E117" s="1"/>
      <c r="F117" s="1"/>
      <c r="G117" s="1"/>
      <c r="H117" s="1"/>
      <c r="I117" s="1"/>
    </row>
    <row r="118" spans="1:9">
      <c r="A118" s="1"/>
      <c r="B118" s="1"/>
      <c r="C118" s="1"/>
      <c r="D118" s="1"/>
      <c r="E118" s="1"/>
      <c r="F118" s="1"/>
      <c r="G118" s="1"/>
      <c r="H118" s="1"/>
      <c r="I118" s="1"/>
    </row>
    <row r="119" spans="1:9">
      <c r="A119" s="1"/>
      <c r="B119" s="1"/>
      <c r="C119" s="1"/>
      <c r="D119" s="1"/>
      <c r="E119" s="1"/>
      <c r="F119" s="1"/>
      <c r="G119" s="1"/>
      <c r="H119" s="1"/>
      <c r="I119" s="1"/>
    </row>
    <row r="120" spans="1:9">
      <c r="A120" s="1"/>
      <c r="B120" s="1"/>
      <c r="C120" s="1"/>
      <c r="D120" s="1"/>
      <c r="E120" s="1"/>
      <c r="F120" s="1"/>
      <c r="G120" s="1"/>
      <c r="H120" s="1"/>
      <c r="I120" s="1"/>
    </row>
    <row r="121" spans="1:9">
      <c r="A121" s="1"/>
      <c r="B121" s="1"/>
      <c r="C121" s="1"/>
      <c r="D121" s="1"/>
      <c r="E121" s="1"/>
      <c r="F121" s="1"/>
      <c r="G121" s="1"/>
      <c r="H121" s="1"/>
      <c r="I121" s="1"/>
    </row>
    <row r="122" spans="1:9">
      <c r="A122" s="1"/>
      <c r="B122" s="1"/>
      <c r="C122" s="1"/>
      <c r="D122" s="1"/>
      <c r="E122" s="1"/>
      <c r="F122" s="1"/>
      <c r="G122" s="1"/>
      <c r="H122" s="1"/>
      <c r="I122" s="1"/>
    </row>
    <row r="123" spans="1:9">
      <c r="A123" s="1"/>
      <c r="B123" s="1"/>
      <c r="C123" s="1"/>
      <c r="D123" s="1"/>
      <c r="E123" s="1"/>
      <c r="F123" s="1"/>
      <c r="G123" s="1"/>
      <c r="H123" s="1"/>
      <c r="I123" s="1"/>
    </row>
    <row r="124" spans="1:9">
      <c r="A124" s="1"/>
      <c r="B124" s="1"/>
      <c r="C124" s="1"/>
      <c r="D124" s="1"/>
      <c r="E124" s="1"/>
      <c r="F124" s="1"/>
      <c r="G124" s="1"/>
      <c r="H124" s="1"/>
      <c r="I124" s="1"/>
    </row>
    <row r="125" spans="1:9">
      <c r="A125" s="1"/>
      <c r="B125" s="1"/>
      <c r="C125" s="1"/>
      <c r="D125" s="1"/>
      <c r="E125" s="1"/>
      <c r="F125" s="1"/>
      <c r="G125" s="1"/>
      <c r="H125" s="1"/>
      <c r="I125" s="1"/>
    </row>
    <row r="126" spans="1:9">
      <c r="A126" s="1"/>
      <c r="B126" s="1"/>
      <c r="C126" s="1"/>
      <c r="D126" s="1"/>
      <c r="E126" s="1"/>
      <c r="F126" s="1"/>
      <c r="G126" s="1"/>
      <c r="H126" s="1"/>
      <c r="I126" s="1"/>
    </row>
    <row r="127" spans="1:9">
      <c r="A127" s="1"/>
      <c r="B127" s="1"/>
      <c r="C127" s="1"/>
      <c r="D127" s="1"/>
      <c r="E127" s="1"/>
      <c r="F127" s="1"/>
      <c r="G127" s="1"/>
      <c r="H127" s="1"/>
      <c r="I127" s="1"/>
    </row>
    <row r="128" spans="1:9">
      <c r="A128" s="1"/>
      <c r="B128" s="1"/>
      <c r="C128" s="1"/>
      <c r="D128" s="1"/>
      <c r="E128" s="1"/>
      <c r="F128" s="1"/>
      <c r="G128" s="1"/>
      <c r="H128" s="1"/>
      <c r="I128" s="1"/>
    </row>
    <row r="129" spans="1:9">
      <c r="A129" s="1"/>
      <c r="B129" s="1"/>
      <c r="C129" s="1"/>
      <c r="D129" s="1"/>
      <c r="E129" s="1"/>
      <c r="F129" s="1"/>
      <c r="G129" s="1"/>
      <c r="H129" s="1"/>
      <c r="I129" s="1"/>
    </row>
    <row r="130" spans="1:9">
      <c r="A130" s="1"/>
      <c r="B130" s="1"/>
      <c r="C130" s="1"/>
      <c r="D130" s="1"/>
      <c r="E130" s="1"/>
      <c r="F130" s="1"/>
      <c r="G130" s="1"/>
      <c r="H130" s="1"/>
      <c r="I130" s="1"/>
    </row>
    <row r="131" spans="1:9">
      <c r="A131" s="1"/>
      <c r="B131" s="1"/>
      <c r="C131" s="1"/>
      <c r="D131" s="1"/>
      <c r="E131" s="1"/>
      <c r="F131" s="1"/>
      <c r="G131" s="1"/>
      <c r="H131" s="1"/>
      <c r="I131" s="1"/>
    </row>
    <row r="132" spans="1:9">
      <c r="A132" s="1"/>
      <c r="B132" s="1"/>
      <c r="C132" s="1"/>
      <c r="D132" s="1"/>
      <c r="E132" s="1"/>
      <c r="F132" s="1"/>
      <c r="G132" s="1"/>
      <c r="H132" s="1"/>
      <c r="I132" s="1"/>
    </row>
    <row r="133" spans="1:9">
      <c r="A133" s="1"/>
      <c r="B133" s="1"/>
      <c r="C133" s="1"/>
      <c r="D133" s="1"/>
      <c r="E133" s="1"/>
      <c r="F133" s="1"/>
      <c r="G133" s="1"/>
      <c r="H133" s="1"/>
      <c r="I133" s="1"/>
    </row>
    <row r="134" spans="1:9">
      <c r="A134" s="1"/>
      <c r="B134" s="1"/>
      <c r="C134" s="1"/>
      <c r="D134" s="1"/>
      <c r="E134" s="1"/>
      <c r="F134" s="1"/>
      <c r="G134" s="1"/>
      <c r="H134" s="1"/>
      <c r="I134" s="1"/>
    </row>
    <row r="135" spans="1:9">
      <c r="A135" s="1"/>
      <c r="B135" s="1"/>
      <c r="C135" s="1"/>
      <c r="D135" s="1"/>
      <c r="E135" s="1"/>
      <c r="F135" s="1"/>
      <c r="G135" s="1"/>
      <c r="H135" s="1"/>
      <c r="I135" s="1"/>
    </row>
    <row r="136" spans="1:9">
      <c r="A136" s="1"/>
      <c r="B136" s="1"/>
      <c r="C136" s="1"/>
      <c r="D136" s="1"/>
      <c r="E136" s="1"/>
      <c r="F136" s="1"/>
      <c r="G136" s="1"/>
      <c r="H136" s="1"/>
      <c r="I136" s="1"/>
    </row>
    <row r="137" spans="1:9">
      <c r="A137" s="1"/>
      <c r="B137" s="1"/>
      <c r="C137" s="1"/>
      <c r="D137" s="1"/>
      <c r="E137" s="1"/>
      <c r="F137" s="1"/>
      <c r="G137" s="1"/>
      <c r="H137" s="1"/>
      <c r="I137" s="1"/>
    </row>
    <row r="138" spans="1:9">
      <c r="A138" s="1"/>
      <c r="B138" s="1"/>
      <c r="C138" s="1"/>
      <c r="D138" s="1"/>
      <c r="E138" s="1"/>
      <c r="F138" s="1"/>
      <c r="G138" s="1"/>
      <c r="H138" s="1"/>
      <c r="I138" s="1"/>
    </row>
    <row r="139" spans="1:9">
      <c r="A139" s="1"/>
      <c r="B139" s="1"/>
      <c r="C139" s="1"/>
      <c r="D139" s="1"/>
      <c r="E139" s="1"/>
      <c r="F139" s="1"/>
      <c r="G139" s="1"/>
      <c r="H139" s="1"/>
      <c r="I139" s="1"/>
    </row>
    <row r="140" spans="1:9">
      <c r="A140" s="1"/>
      <c r="B140" s="1"/>
      <c r="C140" s="1"/>
      <c r="D140" s="1"/>
      <c r="E140" s="1"/>
      <c r="F140" s="1"/>
      <c r="G140" s="1"/>
      <c r="H140" s="1"/>
      <c r="I140" s="1"/>
    </row>
    <row r="141" spans="1:9">
      <c r="A141" s="1"/>
      <c r="B141" s="1"/>
      <c r="C141" s="1"/>
      <c r="D141" s="1"/>
      <c r="E141" s="1"/>
      <c r="F141" s="1"/>
      <c r="G141" s="1"/>
      <c r="H141" s="1"/>
      <c r="I141" s="1"/>
    </row>
    <row r="142" spans="1:9">
      <c r="A142" s="1"/>
      <c r="B142" s="1"/>
      <c r="C142" s="1"/>
      <c r="D142" s="1"/>
      <c r="E142" s="1"/>
      <c r="F142" s="1"/>
      <c r="G142" s="1"/>
      <c r="H142" s="1"/>
      <c r="I142" s="1"/>
    </row>
    <row r="143" spans="1:9">
      <c r="A143" s="1"/>
      <c r="B143" s="1"/>
      <c r="C143" s="1"/>
      <c r="D143" s="1"/>
      <c r="E143" s="1"/>
      <c r="F143" s="1"/>
      <c r="G143" s="1"/>
      <c r="H143" s="1"/>
      <c r="I143" s="1"/>
    </row>
    <row r="144" spans="1:9">
      <c r="A144" s="1"/>
      <c r="B144" s="1"/>
      <c r="C144" s="1"/>
      <c r="D144" s="1"/>
      <c r="E144" s="1"/>
      <c r="F144" s="1"/>
      <c r="G144" s="1"/>
      <c r="H144" s="1"/>
      <c r="I144" s="1"/>
    </row>
    <row r="145" spans="1:9">
      <c r="A145" s="1"/>
      <c r="B145" s="1"/>
      <c r="C145" s="1"/>
      <c r="D145" s="1"/>
      <c r="E145" s="1"/>
      <c r="F145" s="1"/>
      <c r="G145" s="1"/>
      <c r="H145" s="1"/>
      <c r="I145" s="1"/>
    </row>
    <row r="146" spans="1:9">
      <c r="A146" s="1"/>
      <c r="B146" s="1"/>
      <c r="C146" s="1"/>
      <c r="D146" s="1"/>
      <c r="E146" s="1"/>
      <c r="F146" s="1"/>
      <c r="G146" s="1"/>
      <c r="H146" s="1"/>
      <c r="I146" s="1"/>
    </row>
    <row r="147" spans="1:9">
      <c r="A147" s="1"/>
      <c r="B147" s="1"/>
      <c r="C147" s="1"/>
      <c r="D147" s="1"/>
      <c r="E147" s="1"/>
      <c r="F147" s="1"/>
      <c r="G147" s="1"/>
      <c r="H147" s="1"/>
      <c r="I147" s="1"/>
    </row>
    <row r="148" spans="1:9">
      <c r="A148" s="1"/>
      <c r="B148" s="1"/>
      <c r="C148" s="1"/>
      <c r="D148" s="1"/>
      <c r="E148" s="1"/>
      <c r="F148" s="1"/>
      <c r="G148" s="1"/>
      <c r="H148" s="1"/>
      <c r="I148" s="1"/>
    </row>
    <row r="149" spans="1:9">
      <c r="A149" s="1"/>
      <c r="B149" s="1"/>
      <c r="C149" s="1"/>
      <c r="D149" s="1"/>
      <c r="E149" s="1"/>
      <c r="F149" s="1"/>
      <c r="G149" s="1"/>
      <c r="H149" s="1"/>
      <c r="I149" s="1"/>
    </row>
    <row r="150" spans="1:9">
      <c r="A150" s="1"/>
      <c r="B150" s="1"/>
      <c r="C150" s="1"/>
      <c r="D150" s="1"/>
      <c r="E150" s="1"/>
      <c r="F150" s="1"/>
      <c r="G150" s="1"/>
      <c r="H150" s="1"/>
      <c r="I150" s="1"/>
    </row>
    <row r="151" spans="1:9">
      <c r="A151" s="1"/>
      <c r="B151" s="1"/>
      <c r="C151" s="1"/>
      <c r="D151" s="1"/>
      <c r="E151" s="1"/>
      <c r="F151" s="1"/>
      <c r="G151" s="1"/>
      <c r="H151" s="1"/>
      <c r="I151" s="1"/>
    </row>
    <row r="152" spans="1:9">
      <c r="A152" s="1"/>
      <c r="B152" s="1"/>
      <c r="C152" s="1"/>
      <c r="D152" s="1"/>
      <c r="E152" s="1"/>
      <c r="F152" s="1"/>
      <c r="G152" s="1"/>
      <c r="H152" s="1"/>
      <c r="I152" s="1"/>
    </row>
    <row r="153" spans="1:9">
      <c r="A153" s="1"/>
      <c r="B153" s="1"/>
      <c r="C153" s="1"/>
      <c r="D153" s="1"/>
      <c r="E153" s="1"/>
      <c r="F153" s="1"/>
      <c r="G153" s="1"/>
      <c r="H153" s="1"/>
      <c r="I153" s="1"/>
    </row>
    <row r="154" spans="1:9">
      <c r="A154" s="1"/>
      <c r="B154" s="1"/>
      <c r="C154" s="1"/>
      <c r="D154" s="1"/>
      <c r="E154" s="1"/>
      <c r="F154" s="1"/>
      <c r="G154" s="1"/>
      <c r="H154" s="1"/>
      <c r="I154" s="1"/>
    </row>
    <row r="155" spans="1:9">
      <c r="A155" s="1"/>
      <c r="B155" s="1"/>
      <c r="C155" s="1"/>
      <c r="D155" s="1"/>
      <c r="E155" s="1"/>
      <c r="F155" s="1"/>
      <c r="G155" s="1"/>
      <c r="H155" s="1"/>
      <c r="I155" s="1"/>
    </row>
    <row r="156" spans="1:9">
      <c r="A156" s="1"/>
      <c r="B156" s="1"/>
      <c r="C156" s="1"/>
      <c r="D156" s="1"/>
      <c r="E156" s="1"/>
      <c r="F156" s="1"/>
      <c r="G156" s="1"/>
      <c r="H156" s="1"/>
      <c r="I156" s="1"/>
    </row>
    <row r="157" spans="1:9">
      <c r="A157" s="1"/>
      <c r="B157" s="1"/>
      <c r="C157" s="1"/>
      <c r="D157" s="1"/>
      <c r="E157" s="1"/>
      <c r="F157" s="1"/>
      <c r="G157" s="1"/>
      <c r="H157" s="1"/>
      <c r="I157" s="1"/>
    </row>
    <row r="158" spans="1:9">
      <c r="A158" s="1"/>
      <c r="B158" s="1"/>
      <c r="C158" s="1"/>
      <c r="D158" s="1"/>
      <c r="E158" s="1"/>
      <c r="F158" s="1"/>
      <c r="G158" s="1"/>
      <c r="H158" s="1"/>
      <c r="I158" s="1"/>
    </row>
    <row r="159" spans="1:9">
      <c r="A159" s="1"/>
      <c r="B159" s="1"/>
      <c r="C159" s="1"/>
      <c r="D159" s="1"/>
      <c r="E159" s="1"/>
      <c r="F159" s="1"/>
      <c r="G159" s="1"/>
      <c r="H159" s="1"/>
      <c r="I159" s="1"/>
    </row>
    <row r="160" spans="1:9">
      <c r="A160" s="1"/>
      <c r="B160" s="1"/>
      <c r="C160" s="1"/>
      <c r="D160" s="1"/>
      <c r="E160" s="1"/>
      <c r="F160" s="1"/>
      <c r="G160" s="1"/>
      <c r="H160" s="1"/>
      <c r="I160" s="1"/>
    </row>
    <row r="161" spans="1:9">
      <c r="A161" s="1"/>
      <c r="B161" s="1"/>
      <c r="C161" s="1"/>
      <c r="D161" s="1"/>
      <c r="E161" s="1"/>
      <c r="F161" s="1"/>
      <c r="G161" s="1"/>
      <c r="H161" s="1"/>
      <c r="I161" s="1"/>
    </row>
    <row r="162" spans="1:9">
      <c r="A162" s="1"/>
      <c r="B162" s="1"/>
      <c r="C162" s="1"/>
      <c r="D162" s="1"/>
      <c r="E162" s="1"/>
      <c r="F162" s="1"/>
      <c r="G162" s="1"/>
      <c r="H162" s="1"/>
      <c r="I162" s="1"/>
    </row>
    <row r="163" spans="1:9">
      <c r="A163" s="1"/>
      <c r="B163" s="1"/>
      <c r="C163" s="1"/>
      <c r="D163" s="1"/>
      <c r="E163" s="1"/>
      <c r="F163" s="1"/>
      <c r="G163" s="1"/>
      <c r="H163" s="1"/>
      <c r="I163" s="1"/>
    </row>
    <row r="164" spans="1:9">
      <c r="A164" s="1"/>
      <c r="B164" s="1"/>
      <c r="C164" s="1"/>
      <c r="D164" s="1"/>
      <c r="E164" s="1"/>
      <c r="F164" s="1"/>
      <c r="G164" s="1"/>
      <c r="H164" s="1"/>
      <c r="I164" s="1"/>
    </row>
    <row r="165" spans="1:9">
      <c r="A165" s="1"/>
      <c r="B165" s="1"/>
      <c r="C165" s="1"/>
      <c r="D165" s="1"/>
      <c r="E165" s="1"/>
      <c r="F165" s="1"/>
      <c r="G165" s="1"/>
      <c r="H165" s="1"/>
      <c r="I165" s="1"/>
    </row>
    <row r="166" spans="1:9">
      <c r="A166" s="1"/>
      <c r="B166" s="1"/>
      <c r="C166" s="1"/>
      <c r="D166" s="1"/>
      <c r="E166" s="1"/>
      <c r="F166" s="1"/>
      <c r="G166" s="1"/>
      <c r="H166" s="1"/>
      <c r="I166" s="1"/>
    </row>
    <row r="167" spans="1:9">
      <c r="A167" s="1"/>
      <c r="B167" s="1"/>
      <c r="C167" s="1"/>
      <c r="D167" s="1"/>
      <c r="E167" s="1"/>
      <c r="F167" s="1"/>
      <c r="G167" s="1"/>
      <c r="H167" s="1"/>
      <c r="I167" s="1"/>
    </row>
    <row r="168" spans="1:9">
      <c r="A168" s="1"/>
      <c r="B168" s="1"/>
      <c r="C168" s="1"/>
      <c r="D168" s="1"/>
      <c r="E168" s="1"/>
      <c r="F168" s="1"/>
      <c r="G168" s="1"/>
      <c r="H168" s="1"/>
      <c r="I168" s="1"/>
    </row>
    <row r="169" spans="1:9">
      <c r="A169" s="1"/>
      <c r="B169" s="1"/>
      <c r="C169" s="1"/>
      <c r="D169" s="1"/>
      <c r="E169" s="1"/>
      <c r="F169" s="1"/>
      <c r="G169" s="1"/>
      <c r="H169" s="1"/>
      <c r="I169" s="1"/>
    </row>
    <row r="170" spans="1:9">
      <c r="A170" s="1"/>
      <c r="B170" s="1"/>
      <c r="C170" s="1"/>
      <c r="D170" s="1"/>
      <c r="E170" s="1"/>
      <c r="F170" s="1"/>
      <c r="G170" s="1"/>
      <c r="H170" s="1"/>
      <c r="I170" s="1"/>
    </row>
    <row r="171" spans="1:9">
      <c r="A171" s="1"/>
      <c r="B171" s="1"/>
      <c r="C171" s="1"/>
      <c r="D171" s="1"/>
      <c r="E171" s="1"/>
      <c r="F171" s="1"/>
      <c r="G171" s="1"/>
      <c r="H171" s="1"/>
      <c r="I171" s="1"/>
    </row>
    <row r="172" spans="1:9">
      <c r="A172" s="1"/>
      <c r="B172" s="1"/>
      <c r="C172" s="1"/>
      <c r="D172" s="1"/>
      <c r="E172" s="1"/>
      <c r="F172" s="1"/>
      <c r="G172" s="1"/>
      <c r="H172" s="1"/>
      <c r="I172" s="1"/>
    </row>
    <row r="173" spans="1:9">
      <c r="A173" s="1"/>
      <c r="B173" s="1"/>
      <c r="C173" s="1"/>
      <c r="D173" s="1"/>
      <c r="E173" s="1"/>
      <c r="F173" s="1"/>
      <c r="G173" s="1"/>
      <c r="H173" s="1"/>
      <c r="I173" s="1"/>
    </row>
    <row r="174" spans="1:9">
      <c r="A174" s="1"/>
      <c r="B174" s="1"/>
      <c r="C174" s="1"/>
      <c r="D174" s="1"/>
      <c r="E174" s="1"/>
      <c r="F174" s="1"/>
      <c r="G174" s="1"/>
      <c r="H174" s="1"/>
      <c r="I174" s="1"/>
    </row>
    <row r="175" spans="1:9">
      <c r="A175" s="1"/>
      <c r="B175" s="1"/>
      <c r="C175" s="1"/>
      <c r="D175" s="1"/>
      <c r="E175" s="1"/>
      <c r="F175" s="1"/>
      <c r="G175" s="1"/>
      <c r="H175" s="1"/>
      <c r="I175" s="1"/>
    </row>
    <row r="176" spans="1:9">
      <c r="A176" s="1"/>
      <c r="B176" s="1"/>
      <c r="C176" s="1"/>
      <c r="D176" s="1"/>
      <c r="E176" s="1"/>
      <c r="F176" s="1"/>
      <c r="G176" s="1"/>
      <c r="H176" s="1"/>
      <c r="I176" s="1"/>
    </row>
    <row r="177" spans="1:9">
      <c r="A177" s="1"/>
      <c r="B177" s="1"/>
      <c r="C177" s="1"/>
      <c r="D177" s="1"/>
      <c r="E177" s="1"/>
      <c r="F177" s="1"/>
      <c r="G177" s="1"/>
      <c r="H177" s="1"/>
      <c r="I177" s="1"/>
    </row>
    <row r="178" spans="1:9">
      <c r="A178" s="1"/>
      <c r="B178" s="1"/>
      <c r="C178" s="1"/>
      <c r="D178" s="1"/>
      <c r="E178" s="1"/>
      <c r="F178" s="1"/>
      <c r="G178" s="1"/>
      <c r="H178" s="1"/>
      <c r="I178" s="1"/>
    </row>
    <row r="179" spans="1:9">
      <c r="A179" s="1"/>
      <c r="B179" s="1"/>
      <c r="C179" s="1"/>
      <c r="D179" s="1"/>
      <c r="E179" s="1"/>
      <c r="F179" s="1"/>
      <c r="G179" s="1"/>
      <c r="H179" s="1"/>
      <c r="I179" s="1"/>
    </row>
    <row r="180" spans="1:9">
      <c r="A180" s="1"/>
      <c r="B180" s="1"/>
      <c r="C180" s="1"/>
      <c r="D180" s="1"/>
      <c r="E180" s="1"/>
      <c r="F180" s="1"/>
      <c r="G180" s="1"/>
      <c r="H180" s="1"/>
      <c r="I180" s="1"/>
    </row>
    <row r="181" spans="1:9">
      <c r="A181" s="1"/>
      <c r="B181" s="1"/>
      <c r="C181" s="1"/>
      <c r="D181" s="1"/>
      <c r="E181" s="1"/>
      <c r="F181" s="1"/>
      <c r="G181" s="1"/>
      <c r="H181" s="1"/>
      <c r="I181" s="1"/>
    </row>
    <row r="182" spans="1:9">
      <c r="A182" s="1"/>
      <c r="B182" s="1"/>
      <c r="C182" s="1"/>
      <c r="D182" s="1"/>
      <c r="E182" s="1"/>
      <c r="F182" s="1"/>
      <c r="G182" s="1"/>
      <c r="H182" s="1"/>
      <c r="I182" s="1"/>
    </row>
    <row r="183" spans="1:9">
      <c r="A183" s="1"/>
      <c r="B183" s="1"/>
      <c r="C183" s="1"/>
      <c r="D183" s="1"/>
      <c r="E183" s="1"/>
      <c r="F183" s="1"/>
      <c r="G183" s="1"/>
      <c r="H183" s="1"/>
      <c r="I183" s="1"/>
    </row>
    <row r="184" spans="1:9">
      <c r="A184" s="1"/>
      <c r="B184" s="1"/>
      <c r="C184" s="1"/>
      <c r="D184" s="1"/>
      <c r="E184" s="1"/>
      <c r="F184" s="1"/>
      <c r="G184" s="1"/>
      <c r="H184" s="1"/>
      <c r="I184" s="1"/>
    </row>
    <row r="185" spans="1:9">
      <c r="A185" s="1"/>
      <c r="B185" s="1"/>
      <c r="C185" s="1"/>
      <c r="D185" s="1"/>
      <c r="E185" s="1"/>
      <c r="F185" s="1"/>
      <c r="G185" s="1"/>
      <c r="H185" s="1"/>
      <c r="I185" s="1"/>
    </row>
    <row r="186" spans="1:9">
      <c r="A186" s="1"/>
      <c r="B186" s="1"/>
      <c r="C186" s="1"/>
      <c r="D186" s="1"/>
      <c r="E186" s="1"/>
      <c r="F186" s="1"/>
      <c r="G186" s="1"/>
      <c r="H186" s="1"/>
      <c r="I186" s="1"/>
    </row>
    <row r="187" spans="1:9">
      <c r="A187" s="1"/>
      <c r="B187" s="1"/>
      <c r="C187" s="1"/>
      <c r="D187" s="1"/>
      <c r="E187" s="1"/>
      <c r="F187" s="1"/>
      <c r="G187" s="1"/>
      <c r="H187" s="1"/>
      <c r="I187" s="1"/>
    </row>
    <row r="188" spans="1:9">
      <c r="A188" s="1"/>
      <c r="B188" s="1"/>
      <c r="C188" s="1"/>
      <c r="D188" s="1"/>
      <c r="E188" s="1"/>
      <c r="F188" s="1"/>
      <c r="G188" s="1"/>
      <c r="H188" s="1"/>
      <c r="I188" s="1"/>
    </row>
    <row r="189" spans="1:9">
      <c r="A189" s="1"/>
      <c r="B189" s="1"/>
      <c r="C189" s="1"/>
      <c r="D189" s="1"/>
      <c r="E189" s="1"/>
      <c r="F189" s="1"/>
      <c r="G189" s="1"/>
      <c r="H189" s="1"/>
      <c r="I189" s="1"/>
    </row>
    <row r="190" spans="1:9">
      <c r="A190" s="1"/>
      <c r="B190" s="1"/>
      <c r="C190" s="1"/>
      <c r="D190" s="1"/>
      <c r="E190" s="1"/>
      <c r="F190" s="1"/>
      <c r="G190" s="1"/>
      <c r="H190" s="1"/>
      <c r="I190" s="1"/>
    </row>
    <row r="191" spans="1:9">
      <c r="A191" s="1"/>
      <c r="B191" s="1"/>
      <c r="C191" s="1"/>
      <c r="D191" s="1"/>
      <c r="E191" s="1"/>
      <c r="F191" s="1"/>
      <c r="G191" s="1"/>
      <c r="H191" s="1"/>
      <c r="I191" s="1"/>
    </row>
    <row r="192" spans="1:9">
      <c r="A192" s="1"/>
      <c r="B192" s="1"/>
      <c r="C192" s="1"/>
      <c r="D192" s="1"/>
      <c r="E192" s="1"/>
      <c r="F192" s="1"/>
      <c r="G192" s="1"/>
      <c r="H192" s="1"/>
      <c r="I192" s="1"/>
    </row>
    <row r="193" spans="1:9">
      <c r="A193" s="1"/>
      <c r="B193" s="1"/>
      <c r="C193" s="1"/>
      <c r="D193" s="1"/>
      <c r="E193" s="1"/>
      <c r="F193" s="1"/>
      <c r="G193" s="1"/>
      <c r="H193" s="1"/>
      <c r="I193" s="1"/>
    </row>
    <row r="194" spans="1:9">
      <c r="A194" s="1"/>
      <c r="B194" s="1"/>
      <c r="C194" s="1"/>
      <c r="D194" s="1"/>
      <c r="E194" s="1"/>
      <c r="F194" s="1"/>
      <c r="G194" s="1"/>
      <c r="H194" s="1"/>
      <c r="I194" s="1"/>
    </row>
    <row r="195" spans="1:9">
      <c r="A195" s="1"/>
      <c r="B195" s="1"/>
      <c r="C195" s="1"/>
      <c r="D195" s="1"/>
      <c r="E195" s="1"/>
      <c r="F195" s="1"/>
      <c r="G195" s="1"/>
      <c r="H195" s="1"/>
      <c r="I195" s="1"/>
    </row>
    <row r="196" spans="1:9">
      <c r="A196" s="1"/>
      <c r="B196" s="1"/>
      <c r="C196" s="1"/>
      <c r="D196" s="1"/>
      <c r="E196" s="1"/>
      <c r="F196" s="1"/>
      <c r="G196" s="1"/>
      <c r="H196" s="1"/>
      <c r="I196" s="1"/>
    </row>
    <row r="197" spans="1:9">
      <c r="A197" s="1"/>
      <c r="B197" s="1"/>
      <c r="C197" s="1"/>
      <c r="D197" s="1"/>
      <c r="E197" s="1"/>
      <c r="F197" s="1"/>
      <c r="G197" s="1"/>
      <c r="H197" s="1"/>
      <c r="I197" s="1"/>
    </row>
    <row r="198" spans="1:9">
      <c r="A198" s="1"/>
      <c r="B198" s="1"/>
      <c r="C198" s="1"/>
      <c r="D198" s="1"/>
      <c r="E198" s="1"/>
      <c r="F198" s="1"/>
      <c r="G198" s="1"/>
      <c r="H198" s="1"/>
      <c r="I198" s="1"/>
    </row>
    <row r="199" spans="1:9">
      <c r="A199" s="1"/>
      <c r="B199" s="1"/>
      <c r="C199" s="1"/>
      <c r="D199" s="1"/>
      <c r="E199" s="1"/>
      <c r="F199" s="1"/>
      <c r="G199" s="1"/>
      <c r="H199" s="1"/>
      <c r="I199" s="1"/>
    </row>
    <row r="200" spans="1:9">
      <c r="A200" s="1"/>
      <c r="B200" s="1"/>
      <c r="C200" s="1"/>
      <c r="D200" s="1"/>
      <c r="E200" s="1"/>
      <c r="F200" s="1"/>
      <c r="G200" s="1"/>
      <c r="H200" s="1"/>
      <c r="I200" s="1"/>
    </row>
    <row r="201" spans="1:9">
      <c r="A201" s="1"/>
      <c r="B201" s="1"/>
      <c r="C201" s="1"/>
      <c r="D201" s="1"/>
      <c r="E201" s="1"/>
      <c r="F201" s="1"/>
      <c r="G201" s="1"/>
      <c r="H201" s="1"/>
      <c r="I201" s="1"/>
    </row>
    <row r="202" spans="1:9">
      <c r="A202" s="1"/>
      <c r="B202" s="1"/>
      <c r="C202" s="1"/>
      <c r="D202" s="1"/>
      <c r="E202" s="1"/>
      <c r="F202" s="1"/>
      <c r="G202" s="1"/>
      <c r="H202" s="1"/>
      <c r="I202" s="1"/>
    </row>
    <row r="203" spans="1:9">
      <c r="A203" s="1"/>
      <c r="B203" s="1"/>
      <c r="C203" s="1"/>
      <c r="D203" s="1"/>
      <c r="E203" s="1"/>
      <c r="F203" s="1"/>
      <c r="G203" s="1"/>
      <c r="H203" s="1"/>
      <c r="I203" s="1"/>
    </row>
    <row r="204" spans="1:9">
      <c r="A204" s="1"/>
      <c r="B204" s="1"/>
      <c r="C204" s="1"/>
      <c r="D204" s="1"/>
      <c r="E204" s="1"/>
      <c r="F204" s="1"/>
      <c r="G204" s="1"/>
      <c r="H204" s="1"/>
      <c r="I204" s="1"/>
    </row>
    <row r="205" spans="1:9">
      <c r="A205" s="1"/>
      <c r="B205" s="1"/>
      <c r="C205" s="1"/>
      <c r="D205" s="1"/>
      <c r="E205" s="1"/>
      <c r="F205" s="1"/>
      <c r="G205" s="1"/>
      <c r="H205" s="1"/>
      <c r="I205" s="1"/>
    </row>
    <row r="206" spans="1:9">
      <c r="A206" s="1"/>
      <c r="B206" s="1"/>
      <c r="C206" s="1"/>
      <c r="D206" s="1"/>
      <c r="E206" s="1"/>
      <c r="F206" s="1"/>
      <c r="G206" s="1"/>
      <c r="H206" s="1"/>
      <c r="I206" s="1"/>
    </row>
    <row r="207" spans="1:9">
      <c r="A207" s="1"/>
      <c r="B207" s="1"/>
      <c r="C207" s="1"/>
      <c r="D207" s="1"/>
      <c r="E207" s="1"/>
      <c r="F207" s="1"/>
      <c r="G207" s="1"/>
      <c r="H207" s="1"/>
      <c r="I207" s="1"/>
    </row>
    <row r="208" spans="1:9">
      <c r="A208" s="1"/>
      <c r="B208" s="1"/>
      <c r="C208" s="1"/>
      <c r="D208" s="1"/>
      <c r="E208" s="1"/>
      <c r="F208" s="1"/>
      <c r="G208" s="1"/>
      <c r="H208" s="1"/>
      <c r="I208" s="1"/>
    </row>
    <row r="209" spans="1:9">
      <c r="A209" s="1"/>
      <c r="B209" s="1"/>
      <c r="C209" s="1"/>
      <c r="D209" s="1"/>
      <c r="E209" s="1"/>
      <c r="F209" s="1"/>
      <c r="G209" s="1"/>
      <c r="H209" s="1"/>
      <c r="I209" s="1"/>
    </row>
    <row r="210" spans="1:9">
      <c r="A210" s="1"/>
      <c r="B210" s="1"/>
      <c r="C210" s="1"/>
      <c r="D210" s="1"/>
      <c r="E210" s="1"/>
      <c r="F210" s="1"/>
      <c r="G210" s="1"/>
      <c r="H210" s="1"/>
      <c r="I210" s="1"/>
    </row>
    <row r="211" spans="1:9">
      <c r="A211" s="1"/>
      <c r="B211" s="1"/>
      <c r="C211" s="1"/>
      <c r="D211" s="1"/>
      <c r="E211" s="1"/>
      <c r="F211" s="1"/>
      <c r="G211" s="1"/>
      <c r="H211" s="1"/>
      <c r="I211" s="1"/>
    </row>
    <row r="212" spans="1:9">
      <c r="A212" s="1"/>
      <c r="B212" s="1"/>
      <c r="C212" s="1"/>
      <c r="D212" s="1"/>
      <c r="E212" s="1"/>
      <c r="F212" s="1"/>
      <c r="G212" s="1"/>
      <c r="H212" s="1"/>
      <c r="I212" s="1"/>
    </row>
    <row r="213" spans="1:9">
      <c r="A213" s="1"/>
      <c r="B213" s="1"/>
      <c r="C213" s="1"/>
      <c r="D213" s="1"/>
      <c r="E213" s="1"/>
      <c r="F213" s="1"/>
      <c r="G213" s="1"/>
      <c r="H213" s="1"/>
      <c r="I213" s="1"/>
    </row>
    <row r="214" spans="1:9">
      <c r="A214" s="1"/>
      <c r="B214" s="1"/>
      <c r="C214" s="1"/>
      <c r="D214" s="1"/>
      <c r="E214" s="1"/>
      <c r="F214" s="1"/>
      <c r="G214" s="1"/>
      <c r="H214" s="1"/>
      <c r="I214" s="1"/>
    </row>
    <row r="215" spans="1:9">
      <c r="A215" s="1"/>
      <c r="B215" s="1"/>
      <c r="C215" s="1"/>
      <c r="D215" s="1"/>
      <c r="E215" s="1"/>
      <c r="F215" s="1"/>
      <c r="G215" s="1"/>
      <c r="H215" s="1"/>
      <c r="I215" s="1"/>
    </row>
    <row r="216" spans="1:9">
      <c r="A216" s="1"/>
      <c r="B216" s="1"/>
      <c r="C216" s="1"/>
      <c r="D216" s="1"/>
      <c r="E216" s="1"/>
      <c r="F216" s="1"/>
      <c r="G216" s="1"/>
      <c r="H216" s="1"/>
      <c r="I216" s="1"/>
    </row>
    <row r="217" spans="1:9">
      <c r="A217" s="1"/>
      <c r="B217" s="1"/>
      <c r="C217" s="1"/>
      <c r="D217" s="1"/>
      <c r="E217" s="1"/>
      <c r="F217" s="1"/>
      <c r="G217" s="1"/>
      <c r="H217" s="1"/>
      <c r="I217" s="1"/>
    </row>
    <row r="218" spans="1:9">
      <c r="A218" s="1"/>
      <c r="B218" s="1"/>
      <c r="C218" s="1"/>
      <c r="D218" s="1"/>
      <c r="E218" s="1"/>
      <c r="F218" s="1"/>
      <c r="G218" s="1"/>
      <c r="H218" s="1"/>
      <c r="I218" s="1"/>
    </row>
    <row r="219" spans="1:9">
      <c r="A219" s="1"/>
      <c r="B219" s="1"/>
      <c r="C219" s="1"/>
      <c r="D219" s="1"/>
      <c r="E219" s="1"/>
      <c r="F219" s="1"/>
      <c r="G219" s="1"/>
      <c r="H219" s="1"/>
      <c r="I219" s="1"/>
    </row>
    <row r="220" spans="1:9">
      <c r="A220" s="1"/>
      <c r="B220" s="1"/>
      <c r="C220" s="1"/>
      <c r="D220" s="1"/>
      <c r="E220" s="1"/>
      <c r="F220" s="1"/>
      <c r="G220" s="1"/>
      <c r="H220" s="1"/>
      <c r="I220" s="1"/>
    </row>
    <row r="221" spans="1:9">
      <c r="A221" s="1"/>
      <c r="B221" s="1"/>
      <c r="C221" s="1"/>
      <c r="D221" s="1"/>
      <c r="E221" s="1"/>
      <c r="F221" s="1"/>
      <c r="G221" s="1"/>
      <c r="H221" s="1"/>
      <c r="I221" s="1"/>
    </row>
    <row r="222" spans="1:9">
      <c r="A222" s="1"/>
      <c r="B222" s="1"/>
      <c r="C222" s="1"/>
      <c r="D222" s="1"/>
      <c r="E222" s="1"/>
      <c r="F222" s="1"/>
      <c r="G222" s="1"/>
      <c r="H222" s="1"/>
      <c r="I222" s="1"/>
    </row>
    <row r="223" spans="1:9">
      <c r="A223" s="1"/>
      <c r="B223" s="1"/>
      <c r="C223" s="1"/>
      <c r="D223" s="1"/>
      <c r="E223" s="1"/>
      <c r="F223" s="1"/>
      <c r="G223" s="1"/>
      <c r="H223" s="1"/>
      <c r="I223" s="1"/>
    </row>
    <row r="224" spans="1:9">
      <c r="A224" s="1"/>
      <c r="B224" s="1"/>
      <c r="C224" s="1"/>
      <c r="D224" s="1"/>
      <c r="E224" s="1"/>
      <c r="F224" s="1"/>
      <c r="G224" s="1"/>
      <c r="H224" s="1"/>
      <c r="I224" s="1"/>
    </row>
    <row r="225" spans="1:9">
      <c r="A225" s="1"/>
      <c r="B225" s="1"/>
      <c r="C225" s="1"/>
      <c r="D225" s="1"/>
      <c r="E225" s="1"/>
      <c r="F225" s="1"/>
      <c r="G225" s="1"/>
      <c r="H225" s="1"/>
      <c r="I225" s="1"/>
    </row>
    <row r="226" spans="1:9">
      <c r="A226" s="1"/>
      <c r="B226" s="1"/>
      <c r="C226" s="1"/>
      <c r="D226" s="1"/>
      <c r="E226" s="1"/>
      <c r="F226" s="1"/>
      <c r="G226" s="1"/>
      <c r="H226" s="1"/>
      <c r="I226" s="1"/>
    </row>
    <row r="227" spans="1:9">
      <c r="A227" s="1"/>
      <c r="B227" s="1"/>
      <c r="C227" s="1"/>
      <c r="D227" s="1"/>
      <c r="E227" s="1"/>
      <c r="F227" s="1"/>
      <c r="G227" s="1"/>
      <c r="H227" s="1"/>
      <c r="I227" s="1"/>
    </row>
    <row r="228" spans="1:9">
      <c r="A228" s="1"/>
      <c r="B228" s="1"/>
      <c r="C228" s="1"/>
      <c r="D228" s="1"/>
      <c r="E228" s="1"/>
      <c r="F228" s="1"/>
      <c r="G228" s="1"/>
      <c r="H228" s="1"/>
      <c r="I228" s="1"/>
    </row>
    <row r="229" spans="1:9">
      <c r="A229" s="1"/>
      <c r="B229" s="1"/>
      <c r="C229" s="1"/>
      <c r="D229" s="1"/>
      <c r="E229" s="1"/>
      <c r="F229" s="1"/>
      <c r="G229" s="1"/>
      <c r="H229" s="1"/>
      <c r="I229" s="1"/>
    </row>
    <row r="230" spans="1:9">
      <c r="A230" s="1"/>
      <c r="B230" s="1"/>
      <c r="C230" s="1"/>
      <c r="D230" s="1"/>
      <c r="E230" s="1"/>
      <c r="F230" s="1"/>
      <c r="G230" s="1"/>
      <c r="H230" s="1"/>
      <c r="I230" s="1"/>
    </row>
    <row r="231" spans="1:9">
      <c r="A231" s="1"/>
      <c r="B231" s="1"/>
      <c r="C231" s="1"/>
      <c r="D231" s="1"/>
      <c r="E231" s="1"/>
      <c r="F231" s="1"/>
      <c r="G231" s="1"/>
      <c r="H231" s="1"/>
      <c r="I231" s="1"/>
    </row>
    <row r="232" spans="1:9">
      <c r="A232" s="1"/>
      <c r="B232" s="1"/>
      <c r="C232" s="1"/>
      <c r="D232" s="1"/>
      <c r="E232" s="1"/>
      <c r="F232" s="1"/>
      <c r="G232" s="1"/>
      <c r="H232" s="1"/>
      <c r="I232" s="1"/>
    </row>
    <row r="233" spans="1:9">
      <c r="A233" s="1"/>
      <c r="B233" s="1"/>
      <c r="C233" s="1"/>
      <c r="D233" s="1"/>
      <c r="E233" s="1"/>
      <c r="F233" s="1"/>
      <c r="G233" s="1"/>
      <c r="H233" s="1"/>
      <c r="I233" s="1"/>
    </row>
    <row r="234" spans="1:9">
      <c r="A234" s="1"/>
      <c r="B234" s="1"/>
      <c r="C234" s="1"/>
      <c r="D234" s="1"/>
      <c r="E234" s="1"/>
      <c r="F234" s="1"/>
      <c r="G234" s="1"/>
      <c r="H234" s="1"/>
      <c r="I234" s="1"/>
    </row>
    <row r="235" spans="1:9">
      <c r="A235" s="1"/>
      <c r="B235" s="1"/>
      <c r="C235" s="1"/>
      <c r="D235" s="1"/>
      <c r="E235" s="1"/>
      <c r="F235" s="1"/>
      <c r="G235" s="1"/>
      <c r="H235" s="1"/>
      <c r="I235" s="1"/>
    </row>
    <row r="236" spans="1:9">
      <c r="A236" s="1"/>
      <c r="B236" s="1"/>
      <c r="C236" s="1"/>
      <c r="D236" s="1"/>
      <c r="E236" s="1"/>
      <c r="F236" s="1"/>
      <c r="G236" s="1"/>
      <c r="H236" s="1"/>
      <c r="I236" s="1"/>
    </row>
    <row r="237" spans="1:9">
      <c r="A237" s="1"/>
      <c r="B237" s="1"/>
      <c r="C237" s="1"/>
      <c r="D237" s="1"/>
      <c r="E237" s="1"/>
      <c r="F237" s="1"/>
      <c r="G237" s="1"/>
      <c r="H237" s="1"/>
      <c r="I237" s="1"/>
    </row>
    <row r="238" spans="1:9">
      <c r="A238" s="1"/>
      <c r="B238" s="1"/>
      <c r="C238" s="1"/>
      <c r="D238" s="1"/>
      <c r="E238" s="1"/>
      <c r="F238" s="1"/>
      <c r="G238" s="1"/>
      <c r="H238" s="1"/>
      <c r="I238" s="1"/>
    </row>
    <row r="239" spans="1:9">
      <c r="A239" s="1"/>
      <c r="B239" s="1"/>
      <c r="C239" s="1"/>
      <c r="D239" s="1"/>
      <c r="E239" s="1"/>
      <c r="F239" s="1"/>
      <c r="G239" s="1"/>
      <c r="H239" s="1"/>
      <c r="I239" s="1"/>
    </row>
    <row r="240" spans="1:9">
      <c r="A240" s="1"/>
      <c r="B240" s="1"/>
      <c r="C240" s="1"/>
      <c r="D240" s="1"/>
      <c r="E240" s="1"/>
      <c r="F240" s="1"/>
      <c r="G240" s="1"/>
      <c r="H240" s="1"/>
      <c r="I240" s="1"/>
    </row>
    <row r="241" spans="1:9">
      <c r="A241" s="1"/>
      <c r="B241" s="1"/>
      <c r="C241" s="1"/>
      <c r="D241" s="1"/>
      <c r="E241" s="1"/>
      <c r="F241" s="1"/>
      <c r="G241" s="1"/>
      <c r="H241" s="1"/>
      <c r="I241" s="1"/>
    </row>
    <row r="242" spans="1:9">
      <c r="A242" s="1"/>
      <c r="B242" s="1"/>
      <c r="C242" s="1"/>
      <c r="D242" s="1"/>
      <c r="E242" s="1"/>
      <c r="F242" s="1"/>
      <c r="G242" s="1"/>
      <c r="H242" s="1"/>
      <c r="I242" s="1"/>
    </row>
    <row r="243" spans="1:9">
      <c r="A243" s="1"/>
      <c r="B243" s="1"/>
      <c r="C243" s="1"/>
      <c r="D243" s="1"/>
      <c r="E243" s="1"/>
      <c r="F243" s="1"/>
      <c r="G243" s="1"/>
      <c r="H243" s="1"/>
      <c r="I243" s="1"/>
    </row>
    <row r="244" spans="1:9">
      <c r="A244" s="1"/>
      <c r="B244" s="1"/>
      <c r="C244" s="1"/>
      <c r="D244" s="1"/>
      <c r="E244" s="1"/>
      <c r="F244" s="1"/>
      <c r="G244" s="1"/>
      <c r="H244" s="1"/>
      <c r="I244" s="1"/>
    </row>
    <row r="245" spans="1:9">
      <c r="A245" s="1"/>
      <c r="B245" s="1"/>
      <c r="C245" s="1"/>
      <c r="D245" s="1"/>
      <c r="E245" s="1"/>
      <c r="F245" s="1"/>
      <c r="G245" s="1"/>
      <c r="H245" s="1"/>
      <c r="I245" s="1"/>
    </row>
    <row r="246" spans="1:9">
      <c r="A246" s="1"/>
      <c r="B246" s="1"/>
      <c r="C246" s="1"/>
      <c r="D246" s="1"/>
      <c r="E246" s="1"/>
      <c r="F246" s="1"/>
      <c r="G246" s="1"/>
      <c r="H246" s="1"/>
      <c r="I246" s="1"/>
    </row>
    <row r="247" spans="1:9">
      <c r="A247" s="1"/>
      <c r="B247" s="1"/>
      <c r="C247" s="1"/>
      <c r="D247" s="1"/>
      <c r="E247" s="1"/>
      <c r="F247" s="1"/>
      <c r="G247" s="1"/>
      <c r="H247" s="1"/>
      <c r="I247" s="1"/>
    </row>
    <row r="248" spans="1:9">
      <c r="A248" s="1"/>
      <c r="B248" s="1"/>
      <c r="C248" s="1"/>
      <c r="D248" s="1"/>
      <c r="E248" s="1"/>
      <c r="F248" s="1"/>
      <c r="G248" s="1"/>
      <c r="H248" s="1"/>
      <c r="I248" s="1"/>
    </row>
    <row r="249" spans="1:9">
      <c r="A249" s="1"/>
      <c r="B249" s="1"/>
      <c r="C249" s="1"/>
      <c r="D249" s="1"/>
      <c r="E249" s="1"/>
      <c r="F249" s="1"/>
      <c r="G249" s="1"/>
      <c r="H249" s="1"/>
      <c r="I249" s="1"/>
    </row>
    <row r="250" spans="1:9">
      <c r="A250" s="1"/>
      <c r="B250" s="1"/>
      <c r="C250" s="1"/>
      <c r="D250" s="1"/>
      <c r="E250" s="1"/>
      <c r="F250" s="1"/>
      <c r="G250" s="1"/>
      <c r="H250" s="1"/>
      <c r="I250" s="1"/>
    </row>
    <row r="251" spans="1:9">
      <c r="A251" s="1"/>
      <c r="B251" s="1"/>
      <c r="C251" s="1"/>
      <c r="D251" s="1"/>
      <c r="E251" s="1"/>
      <c r="F251" s="1"/>
      <c r="G251" s="1"/>
      <c r="H251" s="1"/>
      <c r="I251" s="1"/>
    </row>
    <row r="252" spans="1:9">
      <c r="A252" s="1"/>
      <c r="B252" s="1"/>
      <c r="C252" s="1"/>
      <c r="D252" s="1"/>
      <c r="E252" s="1"/>
      <c r="F252" s="1"/>
      <c r="G252" s="1"/>
      <c r="H252" s="1"/>
      <c r="I252" s="1"/>
    </row>
    <row r="253" spans="1:9">
      <c r="A253" s="1"/>
      <c r="B253" s="1"/>
      <c r="C253" s="1"/>
      <c r="D253" s="1"/>
      <c r="E253" s="1"/>
      <c r="F253" s="1"/>
      <c r="G253" s="1"/>
      <c r="H253" s="1"/>
      <c r="I253" s="1"/>
    </row>
    <row r="254" spans="1:9">
      <c r="A254" s="1"/>
      <c r="B254" s="1"/>
      <c r="C254" s="1"/>
      <c r="D254" s="1"/>
      <c r="E254" s="1"/>
      <c r="F254" s="1"/>
      <c r="G254" s="1"/>
      <c r="H254" s="1"/>
      <c r="I254" s="1"/>
    </row>
    <row r="255" spans="1:9">
      <c r="A255" s="1"/>
      <c r="B255" s="1"/>
      <c r="C255" s="1"/>
      <c r="D255" s="1"/>
      <c r="E255" s="1"/>
      <c r="F255" s="1"/>
      <c r="G255" s="1"/>
      <c r="H255" s="1"/>
      <c r="I255" s="1"/>
    </row>
    <row r="256" spans="1:9">
      <c r="A256" s="1"/>
      <c r="B256" s="1"/>
      <c r="C256" s="1"/>
      <c r="D256" s="1"/>
      <c r="E256" s="1"/>
      <c r="F256" s="1"/>
      <c r="G256" s="1"/>
      <c r="H256" s="1"/>
      <c r="I256" s="1"/>
    </row>
    <row r="257" spans="1:9">
      <c r="A257" s="1"/>
      <c r="B257" s="1"/>
      <c r="C257" s="1"/>
      <c r="D257" s="1"/>
      <c r="E257" s="1"/>
      <c r="F257" s="1"/>
      <c r="G257" s="1"/>
      <c r="H257" s="1"/>
      <c r="I257" s="1"/>
    </row>
    <row r="258" spans="1:9">
      <c r="A258" s="1"/>
      <c r="B258" s="1"/>
      <c r="C258" s="1"/>
      <c r="D258" s="1"/>
      <c r="E258" s="1"/>
      <c r="F258" s="1"/>
      <c r="G258" s="1"/>
      <c r="H258" s="1"/>
      <c r="I258" s="1"/>
    </row>
    <row r="259" spans="1:9">
      <c r="A259" s="1"/>
      <c r="B259" s="1"/>
      <c r="C259" s="1"/>
      <c r="D259" s="1"/>
      <c r="E259" s="1"/>
      <c r="F259" s="1"/>
      <c r="G259" s="1"/>
      <c r="H259" s="1"/>
      <c r="I259" s="1"/>
    </row>
    <row r="260" spans="1:9">
      <c r="A260" s="1"/>
      <c r="B260" s="1"/>
      <c r="C260" s="1"/>
      <c r="D260" s="1"/>
      <c r="E260" s="1"/>
      <c r="F260" s="1"/>
      <c r="G260" s="1"/>
      <c r="H260" s="1"/>
      <c r="I260" s="1"/>
    </row>
    <row r="261" spans="1:9">
      <c r="A261" s="1"/>
      <c r="B261" s="1"/>
      <c r="C261" s="1"/>
      <c r="D261" s="1"/>
      <c r="E261" s="1"/>
      <c r="F261" s="1"/>
      <c r="G261" s="1"/>
      <c r="H261" s="1"/>
      <c r="I261" s="1"/>
    </row>
    <row r="262" spans="1:9">
      <c r="A262" s="1"/>
      <c r="B262" s="1"/>
      <c r="C262" s="1"/>
      <c r="D262" s="1"/>
      <c r="E262" s="1"/>
      <c r="F262" s="1"/>
      <c r="G262" s="1"/>
      <c r="H262" s="1"/>
      <c r="I262" s="1"/>
    </row>
    <row r="263" spans="1:9">
      <c r="A263" s="1"/>
      <c r="B263" s="1"/>
      <c r="C263" s="1"/>
      <c r="D263" s="1"/>
      <c r="E263" s="1"/>
      <c r="F263" s="1"/>
      <c r="G263" s="1"/>
      <c r="H263" s="1"/>
      <c r="I263" s="1"/>
    </row>
    <row r="264" spans="1:9">
      <c r="A264" s="1"/>
      <c r="B264" s="1"/>
      <c r="C264" s="1"/>
      <c r="D264" s="1"/>
      <c r="E264" s="1"/>
      <c r="F264" s="1"/>
      <c r="G264" s="1"/>
      <c r="H264" s="1"/>
      <c r="I264" s="1"/>
    </row>
    <row r="265" spans="1:9">
      <c r="A265" s="1"/>
      <c r="B265" s="1"/>
      <c r="C265" s="1"/>
      <c r="D265" s="1"/>
      <c r="E265" s="1"/>
      <c r="F265" s="1"/>
      <c r="G265" s="1"/>
      <c r="H265" s="1"/>
      <c r="I265" s="1"/>
    </row>
    <row r="266" spans="1:9">
      <c r="A266" s="1"/>
      <c r="B266" s="1"/>
      <c r="C266" s="1"/>
      <c r="D266" s="1"/>
      <c r="E266" s="1"/>
      <c r="F266" s="1"/>
      <c r="G266" s="1"/>
      <c r="H266" s="1"/>
      <c r="I266" s="1"/>
    </row>
    <row r="267" spans="1:9">
      <c r="A267" s="1"/>
      <c r="B267" s="1"/>
      <c r="C267" s="1"/>
      <c r="D267" s="1"/>
      <c r="E267" s="1"/>
      <c r="F267" s="1"/>
      <c r="G267" s="1"/>
      <c r="H267" s="1"/>
      <c r="I267" s="1"/>
    </row>
    <row r="268" spans="1:9">
      <c r="A268" s="1"/>
      <c r="B268" s="1"/>
      <c r="C268" s="1"/>
      <c r="D268" s="1"/>
      <c r="E268" s="1"/>
      <c r="F268" s="1"/>
      <c r="G268" s="1"/>
      <c r="H268" s="1"/>
      <c r="I268" s="1"/>
    </row>
    <row r="269" spans="1:9">
      <c r="A269" s="1"/>
      <c r="B269" s="1"/>
      <c r="C269" s="1"/>
      <c r="D269" s="1"/>
      <c r="E269" s="1"/>
      <c r="F269" s="1"/>
      <c r="G269" s="1"/>
      <c r="H269" s="1"/>
      <c r="I269" s="1"/>
    </row>
    <row r="270" spans="1:9">
      <c r="A270" s="1"/>
      <c r="B270" s="1"/>
      <c r="C270" s="1"/>
      <c r="D270" s="1"/>
      <c r="E270" s="1"/>
      <c r="F270" s="1"/>
      <c r="G270" s="1"/>
      <c r="H270" s="1"/>
      <c r="I270" s="1"/>
    </row>
  </sheetData>
  <sheetProtection sheet="1" objects="1" scenarios="1" formatCells="0" formatColumns="0" formatRows="0" insertColumns="0" insertRows="0" sort="0" autoFilter="0" pivotTables="0"/>
  <mergeCells count="13">
    <mergeCell ref="A70:D70"/>
    <mergeCell ref="A74:D74"/>
    <mergeCell ref="A78:D78"/>
    <mergeCell ref="A83:D83"/>
    <mergeCell ref="M3:N3"/>
    <mergeCell ref="M4:N4"/>
    <mergeCell ref="A64:J64"/>
    <mergeCell ref="L26:R26"/>
    <mergeCell ref="L2:Q2"/>
    <mergeCell ref="L7:R8"/>
    <mergeCell ref="O20:Q20"/>
    <mergeCell ref="O19:Q19"/>
    <mergeCell ref="L18:R18"/>
  </mergeCells>
  <conditionalFormatting sqref="F41:F47 G2:H8 G11:H13 F8:F9 I8:I9 F10:I10 F53:H55 F57:I63 I41:I55 G15:H43 H44:H47 F50:F52 H50:H52">
    <cfRule type="cellIs" dxfId="652" priority="196" operator="equal">
      <formula>"N"</formula>
    </cfRule>
    <cfRule type="cellIs" dxfId="651" priority="197" operator="equal">
      <formula>"Y"</formula>
    </cfRule>
  </conditionalFormatting>
  <conditionalFormatting sqref="F1:I1">
    <cfRule type="cellIs" dxfId="650" priority="194" operator="equal">
      <formula>"N"</formula>
    </cfRule>
    <cfRule type="cellIs" dxfId="649" priority="195" operator="equal">
      <formula>"Y"</formula>
    </cfRule>
  </conditionalFormatting>
  <conditionalFormatting sqref="G2:H8 G10:H13 I48:I49 F57:I62 F41:I43 F53:I55 G15:H40 G38:G43 F44:F47 H44:I47 F50:F52 H50:I52">
    <cfRule type="cellIs" dxfId="648" priority="192" operator="equal">
      <formula>"y"</formula>
    </cfRule>
    <cfRule type="cellIs" dxfId="647" priority="193" operator="equal">
      <formula>"n"</formula>
    </cfRule>
  </conditionalFormatting>
  <conditionalFormatting sqref="C41:C47 C50:C55 C57:C62">
    <cfRule type="cellIs" dxfId="646" priority="190" operator="equal">
      <formula>"IT"</formula>
    </cfRule>
    <cfRule type="cellIs" dxfId="645" priority="191" operator="equal">
      <formula>"CompSci"</formula>
    </cfRule>
  </conditionalFormatting>
  <conditionalFormatting sqref="F5:F7 I5:I7">
    <cfRule type="cellIs" dxfId="644" priority="188" operator="equal">
      <formula>"N"</formula>
    </cfRule>
    <cfRule type="cellIs" dxfId="643" priority="189" operator="equal">
      <formula>"Y"</formula>
    </cfRule>
  </conditionalFormatting>
  <conditionalFormatting sqref="F2:F4 I2:I4">
    <cfRule type="cellIs" dxfId="642" priority="186" operator="equal">
      <formula>"N"</formula>
    </cfRule>
    <cfRule type="cellIs" dxfId="641" priority="187" operator="equal">
      <formula>"Y"</formula>
    </cfRule>
  </conditionalFormatting>
  <conditionalFormatting sqref="F11:F12 I11:I12">
    <cfRule type="cellIs" dxfId="640" priority="184" operator="equal">
      <formula>"N"</formula>
    </cfRule>
    <cfRule type="cellIs" dxfId="639" priority="185" operator="equal">
      <formula>"Y"</formula>
    </cfRule>
  </conditionalFormatting>
  <conditionalFormatting sqref="F13 I13 I15:I18 F15:F18">
    <cfRule type="cellIs" dxfId="638" priority="182" operator="equal">
      <formula>"N"</formula>
    </cfRule>
    <cfRule type="cellIs" dxfId="637" priority="183" operator="equal">
      <formula>"Y"</formula>
    </cfRule>
  </conditionalFormatting>
  <conditionalFormatting sqref="F22:F24 I22:I24">
    <cfRule type="cellIs" dxfId="636" priority="180" operator="equal">
      <formula>"N"</formula>
    </cfRule>
    <cfRule type="cellIs" dxfId="635" priority="181" operator="equal">
      <formula>"Y"</formula>
    </cfRule>
  </conditionalFormatting>
  <conditionalFormatting sqref="F19:F21 I19:I21">
    <cfRule type="cellIs" dxfId="634" priority="178" operator="equal">
      <formula>"N"</formula>
    </cfRule>
    <cfRule type="cellIs" dxfId="633" priority="179" operator="equal">
      <formula>"Y"</formula>
    </cfRule>
  </conditionalFormatting>
  <conditionalFormatting sqref="F25:F30 I25:I30">
    <cfRule type="cellIs" dxfId="632" priority="176" operator="equal">
      <formula>"N"</formula>
    </cfRule>
    <cfRule type="cellIs" dxfId="631" priority="177" operator="equal">
      <formula>"Y"</formula>
    </cfRule>
  </conditionalFormatting>
  <conditionalFormatting sqref="F31:F36 I31:I36">
    <cfRule type="cellIs" dxfId="630" priority="174" operator="equal">
      <formula>"N"</formula>
    </cfRule>
    <cfRule type="cellIs" dxfId="629" priority="175" operator="equal">
      <formula>"Y"</formula>
    </cfRule>
  </conditionalFormatting>
  <conditionalFormatting sqref="F37:F40 I37:I40">
    <cfRule type="cellIs" dxfId="628" priority="172" operator="equal">
      <formula>"N"</formula>
    </cfRule>
    <cfRule type="cellIs" dxfId="627" priority="173" operator="equal">
      <formula>"Y"</formula>
    </cfRule>
  </conditionalFormatting>
  <conditionalFormatting sqref="C2:C13 C15:C47 C50:C55 C57:C62">
    <cfRule type="cellIs" dxfId="626" priority="169" operator="equal">
      <formula>"both"</formula>
    </cfRule>
    <cfRule type="cellIs" dxfId="625" priority="170" operator="equal">
      <formula>"CompSci"</formula>
    </cfRule>
    <cfRule type="cellIs" dxfId="624" priority="171" operator="equal">
      <formula>"IT"</formula>
    </cfRule>
  </conditionalFormatting>
  <conditionalFormatting sqref="A2:D13 A46:F46 F2:I13 A31:C31 A47 C47:F47 I48:I49 A15:D30 A57:I62 A32:D45 A53:I55 F15:I43 F44:F45 H44:I47 A50:F52 H50:I52">
    <cfRule type="expression" dxfId="623" priority="198">
      <formula>$G2="y"</formula>
    </cfRule>
    <cfRule type="expression" dxfId="622" priority="199">
      <formula>$E2="Spring 2016"</formula>
    </cfRule>
    <cfRule type="expression" dxfId="621" priority="200">
      <formula>$E2="Spring 2015"</formula>
    </cfRule>
    <cfRule type="expression" dxfId="620" priority="201">
      <formula>$E2="Fall 2016"</formula>
    </cfRule>
    <cfRule type="expression" dxfId="619" priority="202">
      <formula>$E2="Spring 2014"</formula>
    </cfRule>
    <cfRule type="expression" dxfId="618" priority="203">
      <formula>$E2="Fall 2015"</formula>
    </cfRule>
    <cfRule type="expression" dxfId="617" priority="204">
      <formula>$E2="Fall 2014"</formula>
    </cfRule>
    <cfRule type="expression" dxfId="616" priority="205">
      <formula>$E2="Fall 2013"</formula>
    </cfRule>
  </conditionalFormatting>
  <conditionalFormatting sqref="G14:H14">
    <cfRule type="cellIs" dxfId="615" priority="159" operator="equal">
      <formula>"N"</formula>
    </cfRule>
    <cfRule type="cellIs" dxfId="614" priority="160" operator="equal">
      <formula>"Y"</formula>
    </cfRule>
  </conditionalFormatting>
  <conditionalFormatting sqref="G14:H14">
    <cfRule type="cellIs" dxfId="613" priority="157" operator="equal">
      <formula>"y"</formula>
    </cfRule>
    <cfRule type="cellIs" dxfId="612" priority="158" operator="equal">
      <formula>"n"</formula>
    </cfRule>
  </conditionalFormatting>
  <conditionalFormatting sqref="F14 I14">
    <cfRule type="cellIs" dxfId="611" priority="155" operator="equal">
      <formula>"N"</formula>
    </cfRule>
    <cfRule type="cellIs" dxfId="610" priority="156" operator="equal">
      <formula>"Y"</formula>
    </cfRule>
  </conditionalFormatting>
  <conditionalFormatting sqref="C14">
    <cfRule type="cellIs" dxfId="609" priority="152" operator="equal">
      <formula>"both"</formula>
    </cfRule>
    <cfRule type="cellIs" dxfId="608" priority="153" operator="equal">
      <formula>"CompSci"</formula>
    </cfRule>
    <cfRule type="cellIs" dxfId="607" priority="154" operator="equal">
      <formula>"IT"</formula>
    </cfRule>
  </conditionalFormatting>
  <conditionalFormatting sqref="A14:D14 F14:I14">
    <cfRule type="expression" dxfId="606" priority="161">
      <formula>$G14="y"</formula>
    </cfRule>
    <cfRule type="expression" dxfId="605" priority="162">
      <formula>$E14="Spring 2016"</formula>
    </cfRule>
    <cfRule type="expression" dxfId="604" priority="163">
      <formula>$E14="Spring 2015"</formula>
    </cfRule>
    <cfRule type="expression" dxfId="603" priority="164">
      <formula>$E14="Fall 2016"</formula>
    </cfRule>
    <cfRule type="expression" dxfId="602" priority="165">
      <formula>$E14="Spring 2014"</formula>
    </cfRule>
    <cfRule type="expression" dxfId="601" priority="166">
      <formula>$E14="Fall 2015"</formula>
    </cfRule>
    <cfRule type="expression" dxfId="600" priority="167">
      <formula>$E14="Fall 2014"</formula>
    </cfRule>
    <cfRule type="expression" dxfId="599" priority="168">
      <formula>$E14="Fall 2013"</formula>
    </cfRule>
  </conditionalFormatting>
  <conditionalFormatting sqref="F48 H48">
    <cfRule type="cellIs" dxfId="598" priority="142" operator="equal">
      <formula>"N"</formula>
    </cfRule>
    <cfRule type="cellIs" dxfId="597" priority="143" operator="equal">
      <formula>"Y"</formula>
    </cfRule>
  </conditionalFormatting>
  <conditionalFormatting sqref="F48 H48">
    <cfRule type="cellIs" dxfId="596" priority="140" operator="equal">
      <formula>"y"</formula>
    </cfRule>
    <cfRule type="cellIs" dxfId="595" priority="141" operator="equal">
      <formula>"n"</formula>
    </cfRule>
  </conditionalFormatting>
  <conditionalFormatting sqref="C48">
    <cfRule type="cellIs" dxfId="594" priority="138" operator="equal">
      <formula>"IT"</formula>
    </cfRule>
    <cfRule type="cellIs" dxfId="593" priority="139" operator="equal">
      <formula>"CompSci"</formula>
    </cfRule>
  </conditionalFormatting>
  <conditionalFormatting sqref="C48">
    <cfRule type="cellIs" dxfId="592" priority="135" operator="equal">
      <formula>"both"</formula>
    </cfRule>
    <cfRule type="cellIs" dxfId="591" priority="136" operator="equal">
      <formula>"CompSci"</formula>
    </cfRule>
    <cfRule type="cellIs" dxfId="590" priority="137" operator="equal">
      <formula>"IT"</formula>
    </cfRule>
  </conditionalFormatting>
  <conditionalFormatting sqref="A48 C48:F48 H48">
    <cfRule type="expression" dxfId="589" priority="144">
      <formula>$G48="y"</formula>
    </cfRule>
    <cfRule type="expression" dxfId="588" priority="145">
      <formula>$E48="Spring 2016"</formula>
    </cfRule>
    <cfRule type="expression" dxfId="587" priority="146">
      <formula>$E48="Spring 2015"</formula>
    </cfRule>
    <cfRule type="expression" dxfId="586" priority="147">
      <formula>$E48="Fall 2016"</formula>
    </cfRule>
    <cfRule type="expression" dxfId="585" priority="148">
      <formula>$E48="Spring 2014"</formula>
    </cfRule>
    <cfRule type="expression" dxfId="584" priority="149">
      <formula>$E48="Fall 2015"</formula>
    </cfRule>
    <cfRule type="expression" dxfId="583" priority="150">
      <formula>$E48="Fall 2014"</formula>
    </cfRule>
    <cfRule type="expression" dxfId="582" priority="151">
      <formula>$E48="Fall 2013"</formula>
    </cfRule>
  </conditionalFormatting>
  <conditionalFormatting sqref="F49 H49">
    <cfRule type="cellIs" dxfId="581" priority="125" operator="equal">
      <formula>"N"</formula>
    </cfRule>
    <cfRule type="cellIs" dxfId="580" priority="126" operator="equal">
      <formula>"Y"</formula>
    </cfRule>
  </conditionalFormatting>
  <conditionalFormatting sqref="F49 H49">
    <cfRule type="cellIs" dxfId="579" priority="123" operator="equal">
      <formula>"y"</formula>
    </cfRule>
    <cfRule type="cellIs" dxfId="578" priority="124" operator="equal">
      <formula>"n"</formula>
    </cfRule>
  </conditionalFormatting>
  <conditionalFormatting sqref="C49">
    <cfRule type="cellIs" dxfId="577" priority="121" operator="equal">
      <formula>"IT"</formula>
    </cfRule>
    <cfRule type="cellIs" dxfId="576" priority="122" operator="equal">
      <formula>"CompSci"</formula>
    </cfRule>
  </conditionalFormatting>
  <conditionalFormatting sqref="C49">
    <cfRule type="cellIs" dxfId="575" priority="118" operator="equal">
      <formula>"both"</formula>
    </cfRule>
    <cfRule type="cellIs" dxfId="574" priority="119" operator="equal">
      <formula>"CompSci"</formula>
    </cfRule>
    <cfRule type="cellIs" dxfId="573" priority="120" operator="equal">
      <formula>"IT"</formula>
    </cfRule>
  </conditionalFormatting>
  <conditionalFormatting sqref="A49 C49:F49 H49">
    <cfRule type="expression" dxfId="572" priority="127">
      <formula>$G49="y"</formula>
    </cfRule>
    <cfRule type="expression" dxfId="571" priority="128">
      <formula>$E49="Spring 2016"</formula>
    </cfRule>
    <cfRule type="expression" dxfId="570" priority="129">
      <formula>$E49="Spring 2015"</formula>
    </cfRule>
    <cfRule type="expression" dxfId="569" priority="130">
      <formula>$E49="Fall 2016"</formula>
    </cfRule>
    <cfRule type="expression" dxfId="568" priority="131">
      <formula>$E49="Spring 2014"</formula>
    </cfRule>
    <cfRule type="expression" dxfId="567" priority="132">
      <formula>$E49="Fall 2015"</formula>
    </cfRule>
    <cfRule type="expression" dxfId="566" priority="133">
      <formula>$E49="Fall 2014"</formula>
    </cfRule>
    <cfRule type="expression" dxfId="565" priority="134">
      <formula>$E49="Fall 2013"</formula>
    </cfRule>
  </conditionalFormatting>
  <conditionalFormatting sqref="G56:H56">
    <cfRule type="cellIs" dxfId="564" priority="108" operator="equal">
      <formula>"N"</formula>
    </cfRule>
    <cfRule type="cellIs" dxfId="563" priority="109" operator="equal">
      <formula>"Y"</formula>
    </cfRule>
  </conditionalFormatting>
  <conditionalFormatting sqref="G56:H56">
    <cfRule type="cellIs" dxfId="562" priority="106" operator="equal">
      <formula>"y"</formula>
    </cfRule>
    <cfRule type="cellIs" dxfId="561" priority="107" operator="equal">
      <formula>"n"</formula>
    </cfRule>
  </conditionalFormatting>
  <conditionalFormatting sqref="I56 F56">
    <cfRule type="cellIs" dxfId="560" priority="104" operator="equal">
      <formula>"N"</formula>
    </cfRule>
    <cfRule type="cellIs" dxfId="559" priority="105" operator="equal">
      <formula>"Y"</formula>
    </cfRule>
  </conditionalFormatting>
  <conditionalFormatting sqref="C56">
    <cfRule type="cellIs" dxfId="558" priority="101" operator="equal">
      <formula>"both"</formula>
    </cfRule>
    <cfRule type="cellIs" dxfId="557" priority="102" operator="equal">
      <formula>"CompSci"</formula>
    </cfRule>
    <cfRule type="cellIs" dxfId="556" priority="103" operator="equal">
      <formula>"IT"</formula>
    </cfRule>
  </conditionalFormatting>
  <conditionalFormatting sqref="F56:I56 A56:D56">
    <cfRule type="expression" dxfId="555" priority="110">
      <formula>$G56="y"</formula>
    </cfRule>
    <cfRule type="expression" dxfId="554" priority="111">
      <formula>$E56="Spring 2016"</formula>
    </cfRule>
    <cfRule type="expression" dxfId="553" priority="112">
      <formula>$E56="Spring 2015"</formula>
    </cfRule>
    <cfRule type="expression" dxfId="552" priority="113">
      <formula>$E56="Fall 2016"</formula>
    </cfRule>
    <cfRule type="expression" dxfId="551" priority="114">
      <formula>$E56="Spring 2014"</formula>
    </cfRule>
    <cfRule type="expression" dxfId="550" priority="115">
      <formula>$E56="Fall 2015"</formula>
    </cfRule>
    <cfRule type="expression" dxfId="549" priority="116">
      <formula>$E56="Fall 2014"</formula>
    </cfRule>
    <cfRule type="expression" dxfId="548" priority="117">
      <formula>$E56="Fall 2013"</formula>
    </cfRule>
  </conditionalFormatting>
  <conditionalFormatting sqref="J8">
    <cfRule type="expression" dxfId="547" priority="93">
      <formula>#REF!="y"</formula>
    </cfRule>
    <cfRule type="expression" dxfId="546" priority="94">
      <formula>#REF!="Spring 2016"</formula>
    </cfRule>
    <cfRule type="expression" dxfId="545" priority="95">
      <formula>#REF!="Spring 2015"</formula>
    </cfRule>
    <cfRule type="expression" dxfId="544" priority="96">
      <formula>#REF!="Fall 2016"</formula>
    </cfRule>
    <cfRule type="expression" dxfId="543" priority="97">
      <formula>#REF!="Spring 2014"</formula>
    </cfRule>
    <cfRule type="expression" dxfId="542" priority="98">
      <formula>#REF!="Fall 2015"</formula>
    </cfRule>
    <cfRule type="expression" dxfId="541" priority="99">
      <formula>#REF!="Fall 2014"</formula>
    </cfRule>
    <cfRule type="expression" dxfId="540" priority="100">
      <formula>#REF!="Fall 2013"</formula>
    </cfRule>
  </conditionalFormatting>
  <conditionalFormatting sqref="J11">
    <cfRule type="expression" dxfId="539" priority="85">
      <formula>$G11="y"</formula>
    </cfRule>
    <cfRule type="expression" dxfId="538" priority="86">
      <formula>$E11="Spring 2016"</formula>
    </cfRule>
    <cfRule type="expression" dxfId="537" priority="87">
      <formula>$E11="Spring 2015"</formula>
    </cfRule>
    <cfRule type="expression" dxfId="536" priority="88">
      <formula>$E11="Fall 2016"</formula>
    </cfRule>
    <cfRule type="expression" dxfId="535" priority="89">
      <formula>$E11="Spring 2014"</formula>
    </cfRule>
    <cfRule type="expression" dxfId="534" priority="90">
      <formula>$E11="Fall 2015"</formula>
    </cfRule>
    <cfRule type="expression" dxfId="533" priority="91">
      <formula>$E11="Fall 2014"</formula>
    </cfRule>
    <cfRule type="expression" dxfId="532" priority="92">
      <formula>$E11="Fall 2013"</formula>
    </cfRule>
  </conditionalFormatting>
  <conditionalFormatting sqref="I32">
    <cfRule type="cellIs" dxfId="531" priority="83" operator="equal">
      <formula>"N"</formula>
    </cfRule>
    <cfRule type="cellIs" dxfId="530" priority="84" operator="equal">
      <formula>"Y"</formula>
    </cfRule>
  </conditionalFormatting>
  <conditionalFormatting sqref="J24">
    <cfRule type="expression" dxfId="529" priority="75">
      <formula>#REF!="y"</formula>
    </cfRule>
    <cfRule type="expression" dxfId="528" priority="76">
      <formula>#REF!="Spring 2016"</formula>
    </cfRule>
    <cfRule type="expression" dxfId="527" priority="77">
      <formula>#REF!="Spring 2015"</formula>
    </cfRule>
    <cfRule type="expression" dxfId="526" priority="78">
      <formula>#REF!="Fall 2016"</formula>
    </cfRule>
    <cfRule type="expression" dxfId="525" priority="79">
      <formula>#REF!="Spring 2014"</formula>
    </cfRule>
    <cfRule type="expression" dxfId="524" priority="80">
      <formula>#REF!="Fall 2015"</formula>
    </cfRule>
    <cfRule type="expression" dxfId="523" priority="81">
      <formula>#REF!="Fall 2014"</formula>
    </cfRule>
    <cfRule type="expression" dxfId="522" priority="82">
      <formula>#REF!="Fall 2013"</formula>
    </cfRule>
  </conditionalFormatting>
  <conditionalFormatting sqref="J27">
    <cfRule type="expression" dxfId="521" priority="67">
      <formula>$G27="y"</formula>
    </cfRule>
    <cfRule type="expression" dxfId="520" priority="68">
      <formula>$E27="Spring 2016"</formula>
    </cfRule>
    <cfRule type="expression" dxfId="519" priority="69">
      <formula>$E27="Spring 2015"</formula>
    </cfRule>
    <cfRule type="expression" dxfId="518" priority="70">
      <formula>$E27="Fall 2016"</formula>
    </cfRule>
    <cfRule type="expression" dxfId="517" priority="71">
      <formula>$E27="Spring 2014"</formula>
    </cfRule>
    <cfRule type="expression" dxfId="516" priority="72">
      <formula>$E27="Fall 2015"</formula>
    </cfRule>
    <cfRule type="expression" dxfId="515" priority="73">
      <formula>$E27="Fall 2014"</formula>
    </cfRule>
    <cfRule type="expression" dxfId="514" priority="74">
      <formula>$E27="Fall 2013"</formula>
    </cfRule>
  </conditionalFormatting>
  <conditionalFormatting sqref="J40">
    <cfRule type="expression" dxfId="513" priority="59">
      <formula>#REF!="y"</formula>
    </cfRule>
    <cfRule type="expression" dxfId="512" priority="60">
      <formula>#REF!="Spring 2016"</formula>
    </cfRule>
    <cfRule type="expression" dxfId="511" priority="61">
      <formula>#REF!="Spring 2015"</formula>
    </cfRule>
    <cfRule type="expression" dxfId="510" priority="62">
      <formula>#REF!="Fall 2016"</formula>
    </cfRule>
    <cfRule type="expression" dxfId="509" priority="63">
      <formula>#REF!="Spring 2014"</formula>
    </cfRule>
    <cfRule type="expression" dxfId="508" priority="64">
      <formula>#REF!="Fall 2015"</formula>
    </cfRule>
    <cfRule type="expression" dxfId="507" priority="65">
      <formula>#REF!="Fall 2014"</formula>
    </cfRule>
    <cfRule type="expression" dxfId="506" priority="66">
      <formula>#REF!="Fall 2013"</formula>
    </cfRule>
  </conditionalFormatting>
  <conditionalFormatting sqref="J43">
    <cfRule type="expression" dxfId="505" priority="51">
      <formula>$G43="y"</formula>
    </cfRule>
    <cfRule type="expression" dxfId="504" priority="52">
      <formula>$E43="Spring 2016"</formula>
    </cfRule>
    <cfRule type="expression" dxfId="503" priority="53">
      <formula>$E43="Spring 2015"</formula>
    </cfRule>
    <cfRule type="expression" dxfId="502" priority="54">
      <formula>$E43="Fall 2016"</formula>
    </cfRule>
    <cfRule type="expression" dxfId="501" priority="55">
      <formula>$E43="Spring 2014"</formula>
    </cfRule>
    <cfRule type="expression" dxfId="500" priority="56">
      <formula>$E43="Fall 2015"</formula>
    </cfRule>
    <cfRule type="expression" dxfId="499" priority="57">
      <formula>$E43="Fall 2014"</formula>
    </cfRule>
    <cfRule type="expression" dxfId="498" priority="58">
      <formula>$E43="Fall 2013"</formula>
    </cfRule>
  </conditionalFormatting>
  <conditionalFormatting sqref="G44:G47">
    <cfRule type="cellIs" dxfId="497" priority="29" operator="equal">
      <formula>"N"</formula>
    </cfRule>
    <cfRule type="cellIs" dxfId="496" priority="30" operator="equal">
      <formula>"Y"</formula>
    </cfRule>
  </conditionalFormatting>
  <conditionalFormatting sqref="G44:G47">
    <cfRule type="cellIs" dxfId="495" priority="27" operator="equal">
      <formula>"y"</formula>
    </cfRule>
    <cfRule type="cellIs" dxfId="494" priority="28" operator="equal">
      <formula>"n"</formula>
    </cfRule>
  </conditionalFormatting>
  <conditionalFormatting sqref="G44:G47">
    <cfRule type="expression" dxfId="493" priority="31">
      <formula>$G44="y"</formula>
    </cfRule>
    <cfRule type="expression" dxfId="492" priority="32">
      <formula>$E44="Spring 2016"</formula>
    </cfRule>
    <cfRule type="expression" dxfId="491" priority="33">
      <formula>$E44="Spring 2015"</formula>
    </cfRule>
    <cfRule type="expression" dxfId="490" priority="34">
      <formula>$E44="Fall 2016"</formula>
    </cfRule>
    <cfRule type="expression" dxfId="489" priority="35">
      <formula>$E44="Spring 2014"</formula>
    </cfRule>
    <cfRule type="expression" dxfId="488" priority="36">
      <formula>$E44="Fall 2015"</formula>
    </cfRule>
    <cfRule type="expression" dxfId="487" priority="37">
      <formula>$E44="Fall 2014"</formula>
    </cfRule>
    <cfRule type="expression" dxfId="486" priority="38">
      <formula>$E44="Fall 2013"</formula>
    </cfRule>
  </conditionalFormatting>
  <conditionalFormatting sqref="G48">
    <cfRule type="cellIs" dxfId="485" priority="17" operator="equal">
      <formula>"N"</formula>
    </cfRule>
    <cfRule type="cellIs" dxfId="484" priority="18" operator="equal">
      <formula>"Y"</formula>
    </cfRule>
  </conditionalFormatting>
  <conditionalFormatting sqref="G48">
    <cfRule type="cellIs" dxfId="483" priority="15" operator="equal">
      <formula>"y"</formula>
    </cfRule>
    <cfRule type="cellIs" dxfId="482" priority="16" operator="equal">
      <formula>"n"</formula>
    </cfRule>
  </conditionalFormatting>
  <conditionalFormatting sqref="G48">
    <cfRule type="expression" dxfId="481" priority="19">
      <formula>$G48="y"</formula>
    </cfRule>
    <cfRule type="expression" dxfId="480" priority="20">
      <formula>$E48="Spring 2016"</formula>
    </cfRule>
    <cfRule type="expression" dxfId="479" priority="21">
      <formula>$E48="Spring 2015"</formula>
    </cfRule>
    <cfRule type="expression" dxfId="478" priority="22">
      <formula>$E48="Fall 2016"</formula>
    </cfRule>
    <cfRule type="expression" dxfId="477" priority="23">
      <formula>$E48="Spring 2014"</formula>
    </cfRule>
    <cfRule type="expression" dxfId="476" priority="24">
      <formula>$E48="Fall 2015"</formula>
    </cfRule>
    <cfRule type="expression" dxfId="475" priority="25">
      <formula>$E48="Fall 2014"</formula>
    </cfRule>
    <cfRule type="expression" dxfId="474" priority="26">
      <formula>$E48="Fall 2013"</formula>
    </cfRule>
  </conditionalFormatting>
  <conditionalFormatting sqref="G49:G52">
    <cfRule type="cellIs" dxfId="473" priority="5" operator="equal">
      <formula>"N"</formula>
    </cfRule>
    <cfRule type="cellIs" dxfId="472" priority="6" operator="equal">
      <formula>"Y"</formula>
    </cfRule>
  </conditionalFormatting>
  <conditionalFormatting sqref="G49:G52">
    <cfRule type="cellIs" dxfId="471" priority="3" operator="equal">
      <formula>"y"</formula>
    </cfRule>
    <cfRule type="cellIs" dxfId="470" priority="4" operator="equal">
      <formula>"n"</formula>
    </cfRule>
  </conditionalFormatting>
  <conditionalFormatting sqref="G49:G52">
    <cfRule type="expression" dxfId="469" priority="7">
      <formula>$G49="y"</formula>
    </cfRule>
    <cfRule type="expression" dxfId="468" priority="8">
      <formula>$E49="Spring 2016"</formula>
    </cfRule>
    <cfRule type="expression" dxfId="467" priority="9">
      <formula>$E49="Spring 2015"</formula>
    </cfRule>
    <cfRule type="expression" dxfId="466" priority="10">
      <formula>$E49="Fall 2016"</formula>
    </cfRule>
    <cfRule type="expression" dxfId="465" priority="11">
      <formula>$E49="Spring 2014"</formula>
    </cfRule>
    <cfRule type="expression" dxfId="464" priority="12">
      <formula>$E49="Fall 2015"</formula>
    </cfRule>
    <cfRule type="expression" dxfId="463" priority="13">
      <formula>$E49="Fall 2014"</formula>
    </cfRule>
    <cfRule type="expression" dxfId="462" priority="14">
      <formula>$E49="Fall 2013"</formula>
    </cfRule>
  </conditionalFormatting>
  <conditionalFormatting sqref="N28:R33">
    <cfRule type="cellIs" dxfId="461" priority="843" operator="greaterThan">
      <formula>$R$20</formula>
    </cfRule>
  </conditionalFormatting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O112"/>
  <sheetViews>
    <sheetView tabSelected="1" topLeftCell="A39" zoomScaleNormal="100" workbookViewId="0">
      <selection activeCell="M53" activeCellId="39" sqref="AG61:AG67 AG59:AI59 W61:W67 W59:Y59 M61:M67 M59:O59 C59:E59 C61:C67 AG47:AG53 AG45:AI45 W45:Y45 W47:W53 W33:W39 W31:Y31 AG33:AG39 AG31:AI31 AG19:AG25 AG17:AI17 W17:Y17 W19:W25 AG4:AG10 AG2:AI2 W2:Y2 W4:W10 M2:O2 C2:E2 C4:C10 M4:M10 M17:O17 M19:M25 C19:C25 C17:E17 C33:C39 C31:E31 M31:O31 M33:M39 M45:O45 C45:E45 C47:C53 M47:M53"/>
    </sheetView>
  </sheetViews>
  <sheetFormatPr defaultRowHeight="15" outlineLevelRow="1" outlineLevelCol="2"/>
  <cols>
    <col min="1" max="1" width="14.85546875" style="3" customWidth="1"/>
    <col min="2" max="2" width="5.140625" style="3" bestFit="1" customWidth="1"/>
    <col min="3" max="3" width="15.7109375" style="3" customWidth="1" outlineLevel="1"/>
    <col min="4" max="4" width="25.7109375" style="3" customWidth="1" outlineLevel="1"/>
    <col min="5" max="5" width="16.140625" style="3" customWidth="1" outlineLevel="1"/>
    <col min="6" max="6" width="9.5703125" style="3" customWidth="1" outlineLevel="1"/>
    <col min="7" max="7" width="8" style="3" customWidth="1" outlineLevel="1"/>
    <col min="8" max="8" width="14.28515625" style="3" customWidth="1" outlineLevel="1"/>
    <col min="9" max="9" width="16.85546875" style="3" customWidth="1" outlineLevel="1"/>
    <col min="10" max="10" width="14.28515625" style="3" customWidth="1" outlineLevel="1"/>
    <col min="11" max="11" width="10.7109375" style="3" customWidth="1"/>
    <col min="12" max="12" width="5.140625" style="3" bestFit="1" customWidth="1"/>
    <col min="13" max="13" width="15.7109375" style="3" customWidth="1" outlineLevel="1"/>
    <col min="14" max="14" width="25.7109375" style="3" customWidth="1" outlineLevel="1"/>
    <col min="15" max="15" width="16.140625" style="3" customWidth="1" outlineLevel="1"/>
    <col min="16" max="16" width="9.5703125" style="3" customWidth="1" outlineLevel="1"/>
    <col min="17" max="17" width="5.42578125" style="3" customWidth="1" outlineLevel="1"/>
    <col min="18" max="18" width="14.28515625" style="3" customWidth="1" outlineLevel="1"/>
    <col min="19" max="19" width="18.5703125" style="3" customWidth="1" outlineLevel="1"/>
    <col min="20" max="20" width="19.140625" style="3" customWidth="1" outlineLevel="1"/>
    <col min="21" max="21" width="10.7109375" style="3" customWidth="1"/>
    <col min="22" max="22" width="5.140625" style="3" bestFit="1" customWidth="1"/>
    <col min="23" max="23" width="15.7109375" style="3" customWidth="1" outlineLevel="1"/>
    <col min="24" max="24" width="25.7109375" style="3" customWidth="1" outlineLevel="1"/>
    <col min="25" max="25" width="16.140625" style="3" customWidth="1" outlineLevel="1"/>
    <col min="26" max="26" width="10.140625" style="3" customWidth="1" outlineLevel="1"/>
    <col min="27" max="27" width="5.7109375" style="3" customWidth="1" outlineLevel="1"/>
    <col min="28" max="28" width="10.7109375" style="3" customWidth="1" outlineLevel="1"/>
    <col min="29" max="29" width="16.85546875" style="3" customWidth="1" outlineLevel="1"/>
    <col min="30" max="30" width="19.140625" style="3" customWidth="1" outlineLevel="1"/>
    <col min="31" max="31" width="10.7109375" style="3" customWidth="1"/>
    <col min="32" max="32" width="5.140625" style="3" bestFit="1" customWidth="1"/>
    <col min="33" max="33" width="15.7109375" style="3" customWidth="1" outlineLevel="2"/>
    <col min="34" max="34" width="25.7109375" style="3" customWidth="1" outlineLevel="2"/>
    <col min="35" max="35" width="16.140625" style="3" customWidth="1" outlineLevel="2"/>
    <col min="36" max="36" width="9.5703125" style="3" customWidth="1" outlineLevel="2"/>
    <col min="37" max="37" width="5.7109375" style="3" customWidth="1" outlineLevel="2"/>
    <col min="38" max="38" width="10.7109375" style="3" customWidth="1" outlineLevel="2"/>
    <col min="39" max="39" width="16.85546875" style="3" customWidth="1" outlineLevel="2"/>
    <col min="40" max="40" width="14.28515625" style="3" customWidth="1" outlineLevel="2"/>
    <col min="41" max="16384" width="9.140625" style="3"/>
  </cols>
  <sheetData>
    <row r="1" spans="1:40" ht="21.75" thickBot="1">
      <c r="A1" s="94" t="s">
        <v>88</v>
      </c>
      <c r="B1" s="38"/>
      <c r="L1" s="147"/>
      <c r="M1" s="147"/>
      <c r="P1" s="97"/>
      <c r="Q1" s="98"/>
      <c r="R1" s="98"/>
      <c r="S1" s="98"/>
      <c r="T1" s="98"/>
      <c r="V1" s="147"/>
      <c r="W1" s="147"/>
      <c r="AF1" s="147"/>
      <c r="AG1" s="147"/>
    </row>
    <row r="2" spans="1:40" s="23" customFormat="1" ht="23.25" customHeight="1" outlineLevel="1" thickBot="1">
      <c r="B2" s="146" t="s">
        <v>118</v>
      </c>
      <c r="C2" s="140" t="s">
        <v>1</v>
      </c>
      <c r="D2" s="141"/>
      <c r="E2" s="142"/>
      <c r="F2" s="148" t="str">
        <f>GradeStatus(StartingCredits)&amp;"--"&amp;StartingCredits&amp;" Credits "&amp;F12&amp;" In Progress"</f>
        <v>Freshmen--0 Credits 0 In Progress</v>
      </c>
      <c r="G2" s="149"/>
      <c r="H2" s="149"/>
      <c r="I2" s="149"/>
      <c r="J2" s="149"/>
      <c r="L2" s="146" t="s">
        <v>94</v>
      </c>
      <c r="M2" s="143" t="s">
        <v>15</v>
      </c>
      <c r="N2" s="144"/>
      <c r="O2" s="145"/>
      <c r="P2" s="150" t="str">
        <f>GradeStatus(F12)&amp;"--"&amp;F12&amp;" Credits "&amp;P12&amp;" In Progress"</f>
        <v>Freshmen--0 Credits 0 In Progress</v>
      </c>
      <c r="Q2" s="151"/>
      <c r="R2" s="151"/>
      <c r="S2" s="151"/>
      <c r="T2" s="151"/>
      <c r="V2" s="146" t="s">
        <v>95</v>
      </c>
      <c r="W2" s="152" t="s">
        <v>2</v>
      </c>
      <c r="X2" s="153"/>
      <c r="Y2" s="154"/>
      <c r="Z2" s="160" t="str">
        <f>GradeStatus(P12)&amp;"--"&amp;P12&amp;" Credits "&amp;Z12&amp;" In Progress"</f>
        <v>Freshmen--0 Credits 0 In Progress</v>
      </c>
      <c r="AA2" s="161"/>
      <c r="AB2" s="161"/>
      <c r="AC2" s="161"/>
      <c r="AD2" s="161"/>
      <c r="AF2" s="146" t="s">
        <v>96</v>
      </c>
      <c r="AG2" s="155" t="s">
        <v>117</v>
      </c>
      <c r="AH2" s="156"/>
      <c r="AI2" s="157"/>
      <c r="AJ2" s="158" t="str">
        <f>GradeStatus(Z12)&amp;"--"&amp;Z12&amp;" Credits "&amp;AJ12&amp;" In Progress"</f>
        <v>Freshmen--0 Credits 0 In Progress</v>
      </c>
      <c r="AK2" s="159"/>
      <c r="AL2" s="159"/>
      <c r="AM2" s="159"/>
      <c r="AN2" s="159"/>
    </row>
    <row r="3" spans="1:40" ht="15.75" outlineLevel="1" thickBot="1">
      <c r="B3" s="146"/>
      <c r="C3" s="3" t="s">
        <v>20</v>
      </c>
      <c r="D3" s="3" t="s">
        <v>24</v>
      </c>
      <c r="E3" s="3" t="s">
        <v>25</v>
      </c>
      <c r="F3" s="3" t="s">
        <v>10</v>
      </c>
      <c r="G3" s="3" t="s">
        <v>26</v>
      </c>
      <c r="H3" s="3" t="s">
        <v>12</v>
      </c>
      <c r="I3" s="3" t="s">
        <v>36</v>
      </c>
      <c r="J3" s="3" t="s">
        <v>28</v>
      </c>
      <c r="L3" s="146"/>
      <c r="M3" s="3" t="s">
        <v>20</v>
      </c>
      <c r="N3" s="3" t="s">
        <v>24</v>
      </c>
      <c r="O3" s="3" t="s">
        <v>25</v>
      </c>
      <c r="P3" s="3" t="s">
        <v>10</v>
      </c>
      <c r="Q3" s="3" t="s">
        <v>26</v>
      </c>
      <c r="R3" s="3" t="s">
        <v>12</v>
      </c>
      <c r="S3" s="3" t="s">
        <v>36</v>
      </c>
      <c r="T3" s="3" t="s">
        <v>28</v>
      </c>
      <c r="V3" s="146"/>
      <c r="W3" s="3" t="s">
        <v>20</v>
      </c>
      <c r="X3" s="3" t="s">
        <v>24</v>
      </c>
      <c r="Y3" s="3" t="s">
        <v>25</v>
      </c>
      <c r="Z3" s="3" t="s">
        <v>10</v>
      </c>
      <c r="AA3" s="3" t="s">
        <v>26</v>
      </c>
      <c r="AB3" s="3" t="s">
        <v>12</v>
      </c>
      <c r="AC3" s="3" t="s">
        <v>36</v>
      </c>
      <c r="AD3" s="3" t="s">
        <v>28</v>
      </c>
      <c r="AF3" s="146"/>
      <c r="AG3" s="3" t="s">
        <v>20</v>
      </c>
      <c r="AH3" s="3" t="s">
        <v>24</v>
      </c>
      <c r="AI3" s="3" t="s">
        <v>25</v>
      </c>
      <c r="AJ3" s="3" t="s">
        <v>10</v>
      </c>
      <c r="AK3" s="3" t="s">
        <v>26</v>
      </c>
      <c r="AL3" s="3" t="s">
        <v>12</v>
      </c>
      <c r="AM3" s="3" t="s">
        <v>36</v>
      </c>
      <c r="AN3" s="3" t="s">
        <v>28</v>
      </c>
    </row>
    <row r="4" spans="1:40" ht="15.75" outlineLevel="1" thickBot="1">
      <c r="B4" s="146"/>
      <c r="C4" s="16"/>
      <c r="D4" s="3" t="str">
        <f>IF(CSMINORFALL201336[[#This Row],[Course]]= "","",IFERROR(VLOOKUP(CSMINORFALL201336[[#This Row],[Course]],COURSELIST[],2,FALSE),"Course Not Found!"))</f>
        <v/>
      </c>
      <c r="E4" s="3" t="str">
        <f>IF(CSMINORFALL201336[[#This Row],[Course]]= "","",IFERROR(VLOOKUP(CSMINORFALL201336[[#This Row],[Course]],COURSELIST[],3,FALSE),""))</f>
        <v/>
      </c>
      <c r="F4" s="3" t="str">
        <f>IF(CSMINORFALL201336[[#This Row],[Course]]= "","",IFERROR(VLOOKUP(CSMINORFALL201336[[#This Row],[Course]],COURSELIST[],4,FALSE),""))</f>
        <v/>
      </c>
      <c r="H4" s="3" t="str">
        <f>IF(CSMINORFALL201336[[#This Row],[Course]]= "","",IFERROR(VLOOKUP(CSMINORFALL201336[[#This Row],[Course]],COURSELIST[],6,FALSE),""))</f>
        <v/>
      </c>
      <c r="I4" s="3" t="str">
        <f>IF(CSMINORFALL201336[[#This Row],[Course]]= "","",IFERROR(VLOOKUP(CSMINORFALL201336[[#This Row],[Course]],COURSELIST[],7,FALSE),""))</f>
        <v/>
      </c>
      <c r="J4" s="3" t="str">
        <f>IF(CSMINORFALL201336[[#This Row],[Course]]= "","",IFERROR(VLOOKUP(CSMINORFALL201336[[#This Row],[Course]],COURSELIST[],8,FALSE),""))</f>
        <v/>
      </c>
      <c r="L4" s="146"/>
      <c r="M4" s="16"/>
      <c r="N4" s="3" t="str">
        <f>IF(CSMINORWINTERIM201441[[#This Row],[Course]]= "","",IFERROR(VLOOKUP(CSMINORWINTERIM201441[[#This Row],[Course]],COURSELIST[],2,FALSE), "Class Not Found!"))</f>
        <v/>
      </c>
      <c r="O4" s="3" t="str">
        <f>IF(CSMINORWINTERIM201441[[#This Row],[Course]]= "","",IFERROR(VLOOKUP(CSMINORWINTERIM201441[[#This Row],[Course]],COURSELIST[],3,FALSE),""))</f>
        <v/>
      </c>
      <c r="P4" s="3" t="str">
        <f>IF(CSMINORWINTERIM201441[[#This Row],[Course]]= "","",IFERROR(VLOOKUP(CSMINORWINTERIM201441[[#This Row],[Course]],COURSELIST[],4,FALSE),""))</f>
        <v/>
      </c>
      <c r="R4" s="3" t="str">
        <f>IF(CSMINORWINTERIM201441[[#This Row],[Course]]= "","",IFERROR(VLOOKUP(CSMINORWINTERIM201441[[#This Row],[Course]],COURSELIST[],6,FALSE),""))</f>
        <v/>
      </c>
      <c r="S4" s="3" t="str">
        <f>IF(CSMINORWINTERIM201441[[#This Row],[Course]]= "","",IFERROR(VLOOKUP(CSMINORWINTERIM201441[[#This Row],[Course]],COURSELIST[],7,FALSE),""))</f>
        <v/>
      </c>
      <c r="T4" s="3" t="str">
        <f>IF(CSMINORWINTERIM201441[[#This Row],[Course]]= "","",IFERROR(VLOOKUP(CSMINORWINTERIM201441[[#This Row],[Course]],COURSELIST[],8,FALSE),""))</f>
        <v/>
      </c>
      <c r="V4" s="146"/>
      <c r="W4" s="16"/>
      <c r="X4" s="3" t="str">
        <f>IF(Table102940[[#This Row],[Course]]= "","",IFERROR(VLOOKUP(Table102940[[#This Row],[Course]],COURSELIST[],2,FALSE), "Class Not Found!"))</f>
        <v/>
      </c>
      <c r="Y4" s="3" t="str">
        <f>IF(Table102940[[#This Row],[Course]]= "","",IFERROR(VLOOKUP(Table102940[[#This Row],[Course]],COURSELIST[],3,FALSE),""))</f>
        <v/>
      </c>
      <c r="Z4" s="3" t="str">
        <f>IF(Table102940[[#This Row],[Course]]= "","",IFERROR(VLOOKUP(Table102940[[#This Row],[Course]],COURSELIST[],4,FALSE),""))</f>
        <v/>
      </c>
      <c r="AB4" s="3" t="str">
        <f>IF(Table102940[[#This Row],[Course]]= "","",IFERROR(VLOOKUP(Table102940[[#This Row],[Course]],COURSELIST[],6,FALSE),""))</f>
        <v/>
      </c>
      <c r="AC4" s="3" t="str">
        <f>IF(Table102940[[#This Row],[Course]]= "","",IFERROR(VLOOKUP(Table102940[[#This Row],[Course]],COURSELIST[],7,FALSE),""))</f>
        <v/>
      </c>
      <c r="AD4" s="3" t="str">
        <f>IF(Table102940[[#This Row],[Course]]= "","",IFERROR(VLOOKUP(Table102940[[#This Row],[Course]],COURSELIST[],8,FALSE),""))</f>
        <v/>
      </c>
      <c r="AF4" s="146"/>
      <c r="AG4" s="16"/>
      <c r="AH4" s="3" t="str">
        <f>IF(Table92839495253542[[#This Row],[Course]]= "","",IFERROR(VLOOKUP(Table92839495253542[[#This Row],[Course]],COURSELIST[],2,FALSE),"Course Not Found!"))</f>
        <v/>
      </c>
      <c r="AI4" s="3" t="str">
        <f>IF(Table92839495253542[[#This Row],[Course]]= "","",IFERROR(VLOOKUP(Table92839495253542[[#This Row],[Course]],COURSELIST[],3,FALSE),""))</f>
        <v/>
      </c>
      <c r="AJ4" s="3" t="str">
        <f>IF(Table92839495253542[[#This Row],[Course]]= "","",IFERROR(VLOOKUP(Table92839495253542[[#This Row],[Course]],COURSELIST[],4,FALSE),""))</f>
        <v/>
      </c>
      <c r="AL4" s="3" t="str">
        <f>IF(Table92839495253542[[#This Row],[Course]]= "","",IFERROR(VLOOKUP(Table92839495253542[[#This Row],[Course]],COURSELIST[],6,FALSE),""))</f>
        <v/>
      </c>
      <c r="AM4" s="3" t="str">
        <f>IF(Table92839495253542[[#This Row],[Course]]= "","",IFERROR(VLOOKUP(Table92839495253542[[#This Row],[Course]],COURSELIST[],7,FALSE),""))</f>
        <v/>
      </c>
      <c r="AN4" s="3" t="str">
        <f>IF(Table92839495253542[[#This Row],[Course]]= "","",IFERROR(VLOOKUP(Table92839495253542[[#This Row],[Course]],COURSELIST[],8,FALSE),""))</f>
        <v/>
      </c>
    </row>
    <row r="5" spans="1:40" ht="15.75" outlineLevel="1" thickBot="1">
      <c r="B5" s="146"/>
      <c r="C5" s="16"/>
      <c r="D5" s="3" t="str">
        <f>IF(CSMINORFALL201336[[#This Row],[Course]]= "","",IFERROR(VLOOKUP(CSMINORFALL201336[[#This Row],[Course]],COURSELIST[],2,FALSE),"Course Not Found!"))</f>
        <v/>
      </c>
      <c r="E5" s="3" t="str">
        <f>IF(CSMINORFALL201336[[#This Row],[Course]]= "","",IFERROR(VLOOKUP(CSMINORFALL201336[[#This Row],[Course]],COURSELIST[],3,FALSE),""))</f>
        <v/>
      </c>
      <c r="F5" s="3" t="str">
        <f>IF(CSMINORFALL201336[[#This Row],[Course]]= "","",IFERROR(VLOOKUP(CSMINORFALL201336[[#This Row],[Course]],COURSELIST[],4,FALSE),""))</f>
        <v/>
      </c>
      <c r="H5" s="3" t="str">
        <f>IF(CSMINORFALL201336[[#This Row],[Course]]= "","",IFERROR(VLOOKUP(CSMINORFALL201336[[#This Row],[Course]],COURSELIST[],6,FALSE),""))</f>
        <v/>
      </c>
      <c r="I5" s="3" t="str">
        <f>IF(CSMINORFALL201336[[#This Row],[Course]]= "","",IFERROR(VLOOKUP(CSMINORFALL201336[[#This Row],[Course]],COURSELIST[],7,FALSE),""))</f>
        <v/>
      </c>
      <c r="J5" s="3" t="str">
        <f>IF(CSMINORFALL201336[[#This Row],[Course]]= "","",IFERROR(VLOOKUP(CSMINORFALL201336[[#This Row],[Course]],COURSELIST[],8,FALSE),""))</f>
        <v/>
      </c>
      <c r="L5" s="146"/>
      <c r="M5" s="16"/>
      <c r="N5" s="3" t="str">
        <f>IF(CSMINORWINTERIM201441[[#This Row],[Course]]= "","",IFERROR(VLOOKUP(CSMINORWINTERIM201441[[#This Row],[Course]],COURSELIST[],2,FALSE), "Class Not Found!"))</f>
        <v/>
      </c>
      <c r="O5" s="3" t="str">
        <f>IF(CSMINORWINTERIM201441[[#This Row],[Course]]= "","",IFERROR(VLOOKUP(CSMINORWINTERIM201441[[#This Row],[Course]],COURSELIST[],3,FALSE),""))</f>
        <v/>
      </c>
      <c r="P5" s="3" t="str">
        <f>IF(CSMINORWINTERIM201441[[#This Row],[Course]]= "","",IFERROR(VLOOKUP(CSMINORWINTERIM201441[[#This Row],[Course]],COURSELIST[],4,FALSE),""))</f>
        <v/>
      </c>
      <c r="R5" s="3" t="str">
        <f>IF(CSMINORWINTERIM201441[[#This Row],[Course]]= "","",IFERROR(VLOOKUP(CSMINORWINTERIM201441[[#This Row],[Course]],COURSELIST[],6,FALSE),""))</f>
        <v/>
      </c>
      <c r="S5" s="3" t="str">
        <f>IF(CSMINORWINTERIM201441[[#This Row],[Course]]= "","",IFERROR(VLOOKUP(CSMINORWINTERIM201441[[#This Row],[Course]],COURSELIST[],7,FALSE),""))</f>
        <v/>
      </c>
      <c r="T5" s="3" t="str">
        <f>IF(CSMINORWINTERIM201441[[#This Row],[Course]]= "","",IFERROR(VLOOKUP(CSMINORWINTERIM201441[[#This Row],[Course]],COURSELIST[],8,FALSE),""))</f>
        <v/>
      </c>
      <c r="V5" s="146"/>
      <c r="W5" s="16"/>
      <c r="X5" s="3" t="str">
        <f>IF(Table102940[[#This Row],[Course]]= "","",IFERROR(VLOOKUP(Table102940[[#This Row],[Course]],COURSELIST[],2,FALSE), "Class Not Found!"))</f>
        <v/>
      </c>
      <c r="Y5" s="3" t="str">
        <f>IF(Table102940[[#This Row],[Course]]= "","",IFERROR(VLOOKUP(Table102940[[#This Row],[Course]],COURSELIST[],3,FALSE),""))</f>
        <v/>
      </c>
      <c r="Z5" s="3" t="str">
        <f>IF(Table102940[[#This Row],[Course]]= "","",IFERROR(VLOOKUP(Table102940[[#This Row],[Course]],COURSELIST[],4,FALSE),""))</f>
        <v/>
      </c>
      <c r="AB5" s="3" t="str">
        <f>IF(Table102940[[#This Row],[Course]]= "","",IFERROR(VLOOKUP(Table102940[[#This Row],[Course]],COURSELIST[],6,FALSE),""))</f>
        <v/>
      </c>
      <c r="AC5" s="3" t="str">
        <f>IF(Table102940[[#This Row],[Course]]= "","",IFERROR(VLOOKUP(Table102940[[#This Row],[Course]],COURSELIST[],7,FALSE),""))</f>
        <v/>
      </c>
      <c r="AD5" s="3" t="str">
        <f>IF(Table102940[[#This Row],[Course]]= "","",IFERROR(VLOOKUP(Table102940[[#This Row],[Course]],COURSELIST[],8,FALSE),""))</f>
        <v/>
      </c>
      <c r="AF5" s="146"/>
      <c r="AG5" s="25"/>
      <c r="AH5" s="3" t="str">
        <f>IF(Table92839495253542[[#This Row],[Course]]= "","",IFERROR(VLOOKUP(Table92839495253542[[#This Row],[Course]],COURSELIST[],2,FALSE),"Course Not Found!"))</f>
        <v/>
      </c>
      <c r="AI5" s="3" t="str">
        <f>IF(Table92839495253542[[#This Row],[Course]]= "","",IFERROR(VLOOKUP(Table92839495253542[[#This Row],[Course]],COURSELIST[],3,FALSE),""))</f>
        <v/>
      </c>
      <c r="AJ5" s="3" t="str">
        <f>IF(Table92839495253542[[#This Row],[Course]]= "","",IFERROR(VLOOKUP(Table92839495253542[[#This Row],[Course]],COURSELIST[],4,FALSE),""))</f>
        <v/>
      </c>
      <c r="AL5" s="3" t="str">
        <f>IF(Table92839495253542[[#This Row],[Course]]= "","",IFERROR(VLOOKUP(Table92839495253542[[#This Row],[Course]],COURSELIST[],6,FALSE),""))</f>
        <v/>
      </c>
      <c r="AM5" s="3" t="str">
        <f>IF(Table92839495253542[[#This Row],[Course]]= "","",IFERROR(VLOOKUP(Table92839495253542[[#This Row],[Course]],COURSELIST[],7,FALSE),""))</f>
        <v/>
      </c>
      <c r="AN5" s="3" t="str">
        <f>IF(Table92839495253542[[#This Row],[Course]]= "","",IFERROR(VLOOKUP(Table92839495253542[[#This Row],[Course]],COURSELIST[],8,FALSE),""))</f>
        <v/>
      </c>
    </row>
    <row r="6" spans="1:40" ht="15.75" outlineLevel="1" thickBot="1">
      <c r="B6" s="146"/>
      <c r="C6" s="16"/>
      <c r="D6" s="3" t="str">
        <f>IF(CSMINORFALL201336[[#This Row],[Course]]= "","",IFERROR(VLOOKUP(CSMINORFALL201336[[#This Row],[Course]],COURSELIST[],2,FALSE),"Course Not Found!"))</f>
        <v/>
      </c>
      <c r="E6" s="3" t="str">
        <f>IF(CSMINORFALL201336[[#This Row],[Course]]= "","",IFERROR(VLOOKUP(CSMINORFALL201336[[#This Row],[Course]],COURSELIST[],3,FALSE),""))</f>
        <v/>
      </c>
      <c r="F6" s="3" t="str">
        <f>IF(CSMINORFALL201336[[#This Row],[Course]]= "","",IFERROR(VLOOKUP(CSMINORFALL201336[[#This Row],[Course]],COURSELIST[],4,FALSE),""))</f>
        <v/>
      </c>
      <c r="H6" s="3" t="str">
        <f>IF(CSMINORFALL201336[[#This Row],[Course]]= "","",IFERROR(VLOOKUP(CSMINORFALL201336[[#This Row],[Course]],COURSELIST[],6,FALSE),""))</f>
        <v/>
      </c>
      <c r="I6" s="3" t="str">
        <f>IF(CSMINORFALL201336[[#This Row],[Course]]= "","",IFERROR(VLOOKUP(CSMINORFALL201336[[#This Row],[Course]],COURSELIST[],7,FALSE),""))</f>
        <v/>
      </c>
      <c r="J6" s="3" t="str">
        <f>IF(CSMINORFALL201336[[#This Row],[Course]]= "","",IFERROR(VLOOKUP(CSMINORFALL201336[[#This Row],[Course]],COURSELIST[],8,FALSE),""))</f>
        <v/>
      </c>
      <c r="L6" s="146"/>
      <c r="M6" s="16"/>
      <c r="N6" s="3" t="str">
        <f>IF(CSMINORWINTERIM201441[[#This Row],[Course]]= "","",IFERROR(VLOOKUP(CSMINORWINTERIM201441[[#This Row],[Course]],COURSELIST[],2,FALSE), "Class Not Found!"))</f>
        <v/>
      </c>
      <c r="O6" s="3" t="str">
        <f>IF(CSMINORWINTERIM201441[[#This Row],[Course]]= "","",IFERROR(VLOOKUP(CSMINORWINTERIM201441[[#This Row],[Course]],COURSELIST[],3,FALSE),""))</f>
        <v/>
      </c>
      <c r="P6" s="3" t="str">
        <f>IF(CSMINORWINTERIM201441[[#This Row],[Course]]= "","",IFERROR(VLOOKUP(CSMINORWINTERIM201441[[#This Row],[Course]],COURSELIST[],4,FALSE),""))</f>
        <v/>
      </c>
      <c r="R6" s="3" t="str">
        <f>IF(CSMINORWINTERIM201441[[#This Row],[Course]]= "","",IFERROR(VLOOKUP(CSMINORWINTERIM201441[[#This Row],[Course]],COURSELIST[],6,FALSE),""))</f>
        <v/>
      </c>
      <c r="S6" s="3" t="str">
        <f>IF(CSMINORWINTERIM201441[[#This Row],[Course]]= "","",IFERROR(VLOOKUP(CSMINORWINTERIM201441[[#This Row],[Course]],COURSELIST[],7,FALSE),""))</f>
        <v/>
      </c>
      <c r="T6" s="3" t="str">
        <f>IF(CSMINORWINTERIM201441[[#This Row],[Course]]= "","",IFERROR(VLOOKUP(CSMINORWINTERIM201441[[#This Row],[Course]],COURSELIST[],8,FALSE),""))</f>
        <v/>
      </c>
      <c r="V6" s="146"/>
      <c r="W6" s="16"/>
      <c r="X6" s="3" t="str">
        <f>IF(Table102940[[#This Row],[Course]]= "","",IFERROR(VLOOKUP(Table102940[[#This Row],[Course]],COURSELIST[],2,FALSE), "Class Not Found!"))</f>
        <v/>
      </c>
      <c r="Y6" s="3" t="str">
        <f>IF(Table102940[[#This Row],[Course]]= "","",IFERROR(VLOOKUP(Table102940[[#This Row],[Course]],COURSELIST[],3,FALSE),""))</f>
        <v/>
      </c>
      <c r="Z6" s="3" t="str">
        <f>IF(Table102940[[#This Row],[Course]]= "","",IFERROR(VLOOKUP(Table102940[[#This Row],[Course]],COURSELIST[],4,FALSE),""))</f>
        <v/>
      </c>
      <c r="AB6" s="3" t="str">
        <f>IF(Table102940[[#This Row],[Course]]= "","",IFERROR(VLOOKUP(Table102940[[#This Row],[Course]],COURSELIST[],6,FALSE),""))</f>
        <v/>
      </c>
      <c r="AC6" s="3" t="str">
        <f>IF(Table102940[[#This Row],[Course]]= "","",IFERROR(VLOOKUP(Table102940[[#This Row],[Course]],COURSELIST[],7,FALSE),""))</f>
        <v/>
      </c>
      <c r="AD6" s="3" t="str">
        <f>IF(Table102940[[#This Row],[Course]]= "","",IFERROR(VLOOKUP(Table102940[[#This Row],[Course]],COURSELIST[],8,FALSE),""))</f>
        <v/>
      </c>
      <c r="AF6" s="146"/>
      <c r="AG6" s="16"/>
      <c r="AH6" s="3" t="str">
        <f>IF(Table92839495253542[[#This Row],[Course]]= "","",IFERROR(VLOOKUP(Table92839495253542[[#This Row],[Course]],COURSELIST[],2,FALSE),"Course Not Found!"))</f>
        <v/>
      </c>
      <c r="AI6" s="3" t="str">
        <f>IF(Table92839495253542[[#This Row],[Course]]= "","",IFERROR(VLOOKUP(Table92839495253542[[#This Row],[Course]],COURSELIST[],3,FALSE),""))</f>
        <v/>
      </c>
      <c r="AJ6" s="3" t="str">
        <f>IF(Table92839495253542[[#This Row],[Course]]= "","",IFERROR(VLOOKUP(Table92839495253542[[#This Row],[Course]],COURSELIST[],4,FALSE),""))</f>
        <v/>
      </c>
      <c r="AL6" s="3" t="str">
        <f>IF(Table92839495253542[[#This Row],[Course]]= "","",IFERROR(VLOOKUP(Table92839495253542[[#This Row],[Course]],COURSELIST[],6,FALSE),""))</f>
        <v/>
      </c>
      <c r="AM6" s="3" t="str">
        <f>IF(Table92839495253542[[#This Row],[Course]]= "","",IFERROR(VLOOKUP(Table92839495253542[[#This Row],[Course]],COURSELIST[],7,FALSE),""))</f>
        <v/>
      </c>
      <c r="AN6" s="3" t="str">
        <f>IF(Table92839495253542[[#This Row],[Course]]= "","",IFERROR(VLOOKUP(Table92839495253542[[#This Row],[Course]],COURSELIST[],8,FALSE),""))</f>
        <v/>
      </c>
    </row>
    <row r="7" spans="1:40" ht="15.75" outlineLevel="1" thickBot="1">
      <c r="B7" s="146"/>
      <c r="C7" s="16"/>
      <c r="D7" s="3" t="str">
        <f>IF(CSMINORFALL201336[[#This Row],[Course]]= "","",IFERROR(VLOOKUP(CSMINORFALL201336[[#This Row],[Course]],COURSELIST[],2,FALSE),"Course Not Found!"))</f>
        <v/>
      </c>
      <c r="E7" s="3" t="str">
        <f>IF(CSMINORFALL201336[[#This Row],[Course]]= "","",IFERROR(VLOOKUP(CSMINORFALL201336[[#This Row],[Course]],COURSELIST[],3,FALSE),""))</f>
        <v/>
      </c>
      <c r="F7" s="3" t="str">
        <f>IF(CSMINORFALL201336[[#This Row],[Course]]= "","",IFERROR(VLOOKUP(CSMINORFALL201336[[#This Row],[Course]],COURSELIST[],4,FALSE),""))</f>
        <v/>
      </c>
      <c r="H7" s="3" t="str">
        <f>IF(CSMINORFALL201336[[#This Row],[Course]]= "","",IFERROR(VLOOKUP(CSMINORFALL201336[[#This Row],[Course]],COURSELIST[],6,FALSE),""))</f>
        <v/>
      </c>
      <c r="I7" s="3" t="str">
        <f>IF(CSMINORFALL201336[[#This Row],[Course]]= "","",IFERROR(VLOOKUP(CSMINORFALL201336[[#This Row],[Course]],COURSELIST[],7,FALSE),""))</f>
        <v/>
      </c>
      <c r="J7" s="3" t="str">
        <f>IF(CSMINORFALL201336[[#This Row],[Course]]= "","",IFERROR(VLOOKUP(CSMINORFALL201336[[#This Row],[Course]],COURSELIST[],8,FALSE),""))</f>
        <v/>
      </c>
      <c r="L7" s="146"/>
      <c r="M7" s="16"/>
      <c r="N7" s="3" t="str">
        <f>IF(CSMINORWINTERIM201441[[#This Row],[Course]]= "","",IFERROR(VLOOKUP(CSMINORWINTERIM201441[[#This Row],[Course]],COURSELIST[],2,FALSE), "Class Not Found!"))</f>
        <v/>
      </c>
      <c r="O7" s="3" t="str">
        <f>IF(CSMINORWINTERIM201441[[#This Row],[Course]]= "","",IFERROR(VLOOKUP(CSMINORWINTERIM201441[[#This Row],[Course]],COURSELIST[],3,FALSE),""))</f>
        <v/>
      </c>
      <c r="P7" s="3" t="str">
        <f>IF(CSMINORWINTERIM201441[[#This Row],[Course]]= "","",IFERROR(VLOOKUP(CSMINORWINTERIM201441[[#This Row],[Course]],COURSELIST[],4,FALSE),""))</f>
        <v/>
      </c>
      <c r="R7" s="3" t="str">
        <f>IF(CSMINORWINTERIM201441[[#This Row],[Course]]= "","",IFERROR(VLOOKUP(CSMINORWINTERIM201441[[#This Row],[Course]],COURSELIST[],6,FALSE),""))</f>
        <v/>
      </c>
      <c r="S7" s="3" t="str">
        <f>IF(CSMINORWINTERIM201441[[#This Row],[Course]]= "","",IFERROR(VLOOKUP(CSMINORWINTERIM201441[[#This Row],[Course]],COURSELIST[],7,FALSE),""))</f>
        <v/>
      </c>
      <c r="T7" s="3" t="str">
        <f>IF(CSMINORWINTERIM201441[[#This Row],[Course]]= "","",IFERROR(VLOOKUP(CSMINORWINTERIM201441[[#This Row],[Course]],COURSELIST[],8,FALSE),""))</f>
        <v/>
      </c>
      <c r="V7" s="146"/>
      <c r="W7" s="16"/>
      <c r="X7" s="3" t="str">
        <f>IF(Table102940[[#This Row],[Course]]= "","",IFERROR(VLOOKUP(Table102940[[#This Row],[Course]],COURSELIST[],2,FALSE), "Class Not Found!"))</f>
        <v/>
      </c>
      <c r="Y7" s="3" t="str">
        <f>IF(Table102940[[#This Row],[Course]]= "","",IFERROR(VLOOKUP(Table102940[[#This Row],[Course]],COURSELIST[],3,FALSE),""))</f>
        <v/>
      </c>
      <c r="Z7" s="3" t="str">
        <f>IF(Table102940[[#This Row],[Course]]= "","",IFERROR(VLOOKUP(Table102940[[#This Row],[Course]],COURSELIST[],4,FALSE),""))</f>
        <v/>
      </c>
      <c r="AB7" s="3" t="str">
        <f>IF(Table102940[[#This Row],[Course]]= "","",IFERROR(VLOOKUP(Table102940[[#This Row],[Course]],COURSELIST[],6,FALSE),""))</f>
        <v/>
      </c>
      <c r="AC7" s="3" t="str">
        <f>IF(Table102940[[#This Row],[Course]]= "","",IFERROR(VLOOKUP(Table102940[[#This Row],[Course]],COURSELIST[],7,FALSE),""))</f>
        <v/>
      </c>
      <c r="AD7" s="3" t="str">
        <f>IF(Table102940[[#This Row],[Course]]= "","",IFERROR(VLOOKUP(Table102940[[#This Row],[Course]],COURSELIST[],8,FALSE),""))</f>
        <v/>
      </c>
      <c r="AF7" s="146"/>
      <c r="AG7" s="16"/>
      <c r="AH7" s="3" t="str">
        <f>IF(Table92839495253542[[#This Row],[Course]]= "","",IFERROR(VLOOKUP(Table92839495253542[[#This Row],[Course]],COURSELIST[],2,FALSE),"Course Not Found!"))</f>
        <v/>
      </c>
      <c r="AI7" s="3" t="str">
        <f>IF(Table92839495253542[[#This Row],[Course]]= "","",IFERROR(VLOOKUP(Table92839495253542[[#This Row],[Course]],COURSELIST[],3,FALSE),""))</f>
        <v/>
      </c>
      <c r="AJ7" s="3" t="str">
        <f>IF(Table92839495253542[[#This Row],[Course]]= "","",IFERROR(VLOOKUP(Table92839495253542[[#This Row],[Course]],COURSELIST[],4,FALSE),""))</f>
        <v/>
      </c>
      <c r="AL7" s="3" t="str">
        <f>IF(Table92839495253542[[#This Row],[Course]]= "","",IFERROR(VLOOKUP(Table92839495253542[[#This Row],[Course]],COURSELIST[],6,FALSE),""))</f>
        <v/>
      </c>
      <c r="AM7" s="3" t="str">
        <f>IF(Table92839495253542[[#This Row],[Course]]= "","",IFERROR(VLOOKUP(Table92839495253542[[#This Row],[Course]],COURSELIST[],7,FALSE),""))</f>
        <v/>
      </c>
      <c r="AN7" s="3" t="str">
        <f>IF(Table92839495253542[[#This Row],[Course]]= "","",IFERROR(VLOOKUP(Table92839495253542[[#This Row],[Course]],COURSELIST[],8,FALSE),""))</f>
        <v/>
      </c>
    </row>
    <row r="8" spans="1:40" ht="15.75" outlineLevel="1" thickBot="1">
      <c r="B8" s="146"/>
      <c r="C8" s="16"/>
      <c r="D8" s="3" t="str">
        <f>IF(CSMINORFALL201336[[#This Row],[Course]]= "","",IFERROR(VLOOKUP(CSMINORFALL201336[[#This Row],[Course]],COURSELIST[],2,FALSE),"Course Not Found!"))</f>
        <v/>
      </c>
      <c r="E8" s="3" t="str">
        <f>IF(CSMINORFALL201336[[#This Row],[Course]]= "","",IFERROR(VLOOKUP(CSMINORFALL201336[[#This Row],[Course]],COURSELIST[],3,FALSE),""))</f>
        <v/>
      </c>
      <c r="F8" s="3" t="str">
        <f>IF(CSMINORFALL201336[[#This Row],[Course]]= "","",IFERROR(VLOOKUP(CSMINORFALL201336[[#This Row],[Course]],COURSELIST[],4,FALSE),""))</f>
        <v/>
      </c>
      <c r="H8" s="3" t="str">
        <f>IF(CSMINORFALL201336[[#This Row],[Course]]= "","",IFERROR(VLOOKUP(CSMINORFALL201336[[#This Row],[Course]],COURSELIST[],6,FALSE),""))</f>
        <v/>
      </c>
      <c r="I8" s="3" t="str">
        <f>IF(CSMINORFALL201336[[#This Row],[Course]]= "","",IFERROR(VLOOKUP(CSMINORFALL201336[[#This Row],[Course]],COURSELIST[],7,FALSE),""))</f>
        <v/>
      </c>
      <c r="J8" s="3" t="str">
        <f>IF(CSMINORFALL201336[[#This Row],[Course]]= "","",IFERROR(VLOOKUP(CSMINORFALL201336[[#This Row],[Course]],COURSELIST[],8,FALSE),""))</f>
        <v/>
      </c>
      <c r="L8" s="146"/>
      <c r="M8" s="16"/>
      <c r="N8" s="3" t="str">
        <f>IF(CSMINORWINTERIM201441[[#This Row],[Course]]= "","",IFERROR(VLOOKUP(CSMINORWINTERIM201441[[#This Row],[Course]],COURSELIST[],2,FALSE), "Class Not Found!"))</f>
        <v/>
      </c>
      <c r="O8" s="3" t="str">
        <f>IF(CSMINORWINTERIM201441[[#This Row],[Course]]= "","",IFERROR(VLOOKUP(CSMINORWINTERIM201441[[#This Row],[Course]],COURSELIST[],3,FALSE),""))</f>
        <v/>
      </c>
      <c r="P8" s="3" t="str">
        <f>IF(CSMINORWINTERIM201441[[#This Row],[Course]]= "","",IFERROR(VLOOKUP(CSMINORWINTERIM201441[[#This Row],[Course]],COURSELIST[],4,FALSE),""))</f>
        <v/>
      </c>
      <c r="R8" s="3" t="str">
        <f>IF(CSMINORWINTERIM201441[[#This Row],[Course]]= "","",IFERROR(VLOOKUP(CSMINORWINTERIM201441[[#This Row],[Course]],COURSELIST[],6,FALSE),""))</f>
        <v/>
      </c>
      <c r="S8" s="3" t="str">
        <f>IF(CSMINORWINTERIM201441[[#This Row],[Course]]= "","",IFERROR(VLOOKUP(CSMINORWINTERIM201441[[#This Row],[Course]],COURSELIST[],7,FALSE),""))</f>
        <v/>
      </c>
      <c r="T8" s="3" t="str">
        <f>IF(CSMINORWINTERIM201441[[#This Row],[Course]]= "","",IFERROR(VLOOKUP(CSMINORWINTERIM201441[[#This Row],[Course]],COURSELIST[],8,FALSE),""))</f>
        <v/>
      </c>
      <c r="V8" s="146"/>
      <c r="W8" s="17"/>
      <c r="X8" s="3" t="str">
        <f>IF(Table102940[[#This Row],[Course]]= "","",IFERROR(VLOOKUP(Table102940[[#This Row],[Course]],COURSELIST[],2,FALSE), "Class Not Found!"))</f>
        <v/>
      </c>
      <c r="Y8" s="3" t="str">
        <f>IF(Table102940[[#This Row],[Course]]= "","",IFERROR(VLOOKUP(Table102940[[#This Row],[Course]],COURSELIST[],3,FALSE),""))</f>
        <v/>
      </c>
      <c r="Z8" s="3" t="str">
        <f>IF(Table102940[[#This Row],[Course]]= "","",IFERROR(VLOOKUP(Table102940[[#This Row],[Course]],COURSELIST[],4,FALSE),""))</f>
        <v/>
      </c>
      <c r="AB8" s="3" t="str">
        <f>IF(Table102940[[#This Row],[Course]]= "","",IFERROR(VLOOKUP(Table102940[[#This Row],[Course]],COURSELIST[],6,FALSE),""))</f>
        <v/>
      </c>
      <c r="AC8" s="3" t="str">
        <f>IF(Table102940[[#This Row],[Course]]= "","",IFERROR(VLOOKUP(Table102940[[#This Row],[Course]],COURSELIST[],7,FALSE),""))</f>
        <v/>
      </c>
      <c r="AD8" s="3" t="str">
        <f>IF(Table102940[[#This Row],[Course]]= "","",IFERROR(VLOOKUP(Table102940[[#This Row],[Course]],COURSELIST[],8,FALSE),""))</f>
        <v/>
      </c>
      <c r="AF8" s="146"/>
      <c r="AG8" s="25"/>
      <c r="AH8" s="3" t="str">
        <f>IF(Table92839495253542[[#This Row],[Course]]= "","",IFERROR(VLOOKUP(Table92839495253542[[#This Row],[Course]],COURSELIST[],2,FALSE),"Course Not Found!"))</f>
        <v/>
      </c>
      <c r="AI8" s="3" t="str">
        <f>IF(Table92839495253542[[#This Row],[Course]]= "","",IFERROR(VLOOKUP(Table92839495253542[[#This Row],[Course]],COURSELIST[],3,FALSE),""))</f>
        <v/>
      </c>
      <c r="AJ8" s="3" t="str">
        <f>IF(Table92839495253542[[#This Row],[Course]]= "","",IFERROR(VLOOKUP(Table92839495253542[[#This Row],[Course]],COURSELIST[],4,FALSE),""))</f>
        <v/>
      </c>
      <c r="AL8" s="3" t="str">
        <f>IF(Table92839495253542[[#This Row],[Course]]= "","",IFERROR(VLOOKUP(Table92839495253542[[#This Row],[Course]],COURSELIST[],6,FALSE),""))</f>
        <v/>
      </c>
      <c r="AM8" s="3" t="str">
        <f>IF(Table92839495253542[[#This Row],[Course]]= "","",IFERROR(VLOOKUP(Table92839495253542[[#This Row],[Course]],COURSELIST[],7,FALSE),""))</f>
        <v/>
      </c>
      <c r="AN8" s="3" t="str">
        <f>IF(Table92839495253542[[#This Row],[Course]]= "","",IFERROR(VLOOKUP(Table92839495253542[[#This Row],[Course]],COURSELIST[],8,FALSE),""))</f>
        <v/>
      </c>
    </row>
    <row r="9" spans="1:40" ht="15.75" outlineLevel="1" thickBot="1">
      <c r="B9" s="146"/>
      <c r="C9" s="25"/>
      <c r="D9" s="3" t="str">
        <f>IF(CSMINORFALL201336[[#This Row],[Course]]= "","",IFERROR(VLOOKUP(CSMINORFALL201336[[#This Row],[Course]],COURSELIST[],2,FALSE),"Course Not Found!"))</f>
        <v/>
      </c>
      <c r="E9" s="3" t="str">
        <f>IF(CSMINORFALL201336[[#This Row],[Course]]= "","",IFERROR(VLOOKUP(CSMINORFALL201336[[#This Row],[Course]],COURSELIST[],3,FALSE),""))</f>
        <v/>
      </c>
      <c r="F9" s="3" t="str">
        <f>IF(CSMINORFALL201336[[#This Row],[Course]]= "","",IFERROR(VLOOKUP(CSMINORFALL201336[[#This Row],[Course]],COURSELIST[],4,FALSE),""))</f>
        <v/>
      </c>
      <c r="H9" s="3" t="str">
        <f>IF(CSMINORFALL201336[[#This Row],[Course]]= "","",IFERROR(VLOOKUP(CSMINORFALL201336[[#This Row],[Course]],COURSELIST[],6,FALSE),""))</f>
        <v/>
      </c>
      <c r="I9" s="3" t="str">
        <f>IF(CSMINORFALL201336[[#This Row],[Course]]= "","",IFERROR(VLOOKUP(CSMINORFALL201336[[#This Row],[Course]],COURSELIST[],7,FALSE),""))</f>
        <v/>
      </c>
      <c r="J9" s="3" t="str">
        <f>IF(CSMINORFALL201336[[#This Row],[Course]]= "","",IFERROR(VLOOKUP(CSMINORFALL201336[[#This Row],[Course]],COURSELIST[],8,FALSE),""))</f>
        <v/>
      </c>
      <c r="L9" s="146"/>
      <c r="M9" s="16"/>
      <c r="N9" s="3" t="str">
        <f>IF(CSMINORWINTERIM201441[[#This Row],[Course]]= "","",IFERROR(VLOOKUP(CSMINORWINTERIM201441[[#This Row],[Course]],COURSELIST[],2,FALSE), "Class Not Found!"))</f>
        <v/>
      </c>
      <c r="O9" s="3" t="str">
        <f>IF(CSMINORWINTERIM201441[[#This Row],[Course]]= "","",IFERROR(VLOOKUP(CSMINORWINTERIM201441[[#This Row],[Course]],COURSELIST[],3,FALSE),""))</f>
        <v/>
      </c>
      <c r="P9" s="3" t="str">
        <f>IF(CSMINORWINTERIM201441[[#This Row],[Course]]= "","",IFERROR(VLOOKUP(CSMINORWINTERIM201441[[#This Row],[Course]],COURSELIST[],4,FALSE),""))</f>
        <v/>
      </c>
      <c r="R9" s="3" t="str">
        <f>IF(CSMINORWINTERIM201441[[#This Row],[Course]]= "","",IFERROR(VLOOKUP(CSMINORWINTERIM201441[[#This Row],[Course]],COURSELIST[],6,FALSE),""))</f>
        <v/>
      </c>
      <c r="S9" s="3" t="str">
        <f>IF(CSMINORWINTERIM201441[[#This Row],[Course]]= "","",IFERROR(VLOOKUP(CSMINORWINTERIM201441[[#This Row],[Course]],COURSELIST[],7,FALSE),""))</f>
        <v/>
      </c>
      <c r="T9" s="3" t="str">
        <f>IF(CSMINORWINTERIM201441[[#This Row],[Course]]= "","",IFERROR(VLOOKUP(CSMINORWINTERIM201441[[#This Row],[Course]],COURSELIST[],8,FALSE),""))</f>
        <v/>
      </c>
      <c r="V9" s="146"/>
      <c r="W9" s="16"/>
      <c r="X9" s="3" t="str">
        <f>IF(Table102940[[#This Row],[Course]]= "","",IFERROR(VLOOKUP(Table102940[[#This Row],[Course]],COURSELIST[],2,FALSE), "Class Not Found!"))</f>
        <v/>
      </c>
      <c r="Y9" s="3" t="str">
        <f>IF(Table102940[[#This Row],[Course]]= "","",IFERROR(VLOOKUP(Table102940[[#This Row],[Course]],COURSELIST[],3,FALSE),""))</f>
        <v/>
      </c>
      <c r="Z9" s="3" t="str">
        <f>IF(Table102940[[#This Row],[Course]]= "","",IFERROR(VLOOKUP(Table102940[[#This Row],[Course]],COURSELIST[],4,FALSE),""))</f>
        <v/>
      </c>
      <c r="AB9" s="3" t="str">
        <f>IF(Table102940[[#This Row],[Course]]= "","",IFERROR(VLOOKUP(Table102940[[#This Row],[Course]],COURSELIST[],6,FALSE),""))</f>
        <v/>
      </c>
      <c r="AC9" s="3" t="str">
        <f>IF(Table102940[[#This Row],[Course]]= "","",IFERROR(VLOOKUP(Table102940[[#This Row],[Course]],COURSELIST[],7,FALSE),""))</f>
        <v/>
      </c>
      <c r="AD9" s="3" t="str">
        <f>IF(Table102940[[#This Row],[Course]]= "","",IFERROR(VLOOKUP(Table102940[[#This Row],[Course]],COURSELIST[],8,FALSE),""))</f>
        <v/>
      </c>
      <c r="AF9" s="146"/>
      <c r="AG9" s="25"/>
      <c r="AH9" s="3" t="str">
        <f>IF(Table92839495253542[[#This Row],[Course]]= "","",IFERROR(VLOOKUP(Table92839495253542[[#This Row],[Course]],COURSELIST[],2,FALSE),"Course Not Found!"))</f>
        <v/>
      </c>
      <c r="AI9" s="3" t="str">
        <f>IF(Table92839495253542[[#This Row],[Course]]= "","",IFERROR(VLOOKUP(Table92839495253542[[#This Row],[Course]],COURSELIST[],3,FALSE),""))</f>
        <v/>
      </c>
      <c r="AJ9" s="3" t="str">
        <f>IF(Table92839495253542[[#This Row],[Course]]= "","",IFERROR(VLOOKUP(Table92839495253542[[#This Row],[Course]],COURSELIST[],4,FALSE),""))</f>
        <v/>
      </c>
      <c r="AL9" s="3" t="str">
        <f>IF(Table92839495253542[[#This Row],[Course]]= "","",IFERROR(VLOOKUP(Table92839495253542[[#This Row],[Course]],COURSELIST[],6,FALSE),""))</f>
        <v/>
      </c>
      <c r="AM9" s="3" t="str">
        <f>IF(Table92839495253542[[#This Row],[Course]]= "","",IFERROR(VLOOKUP(Table92839495253542[[#This Row],[Course]],COURSELIST[],7,FALSE),""))</f>
        <v/>
      </c>
      <c r="AN9" s="3" t="str">
        <f>IF(Table92839495253542[[#This Row],[Course]]= "","",IFERROR(VLOOKUP(Table92839495253542[[#This Row],[Course]],COURSELIST[],8,FALSE),""))</f>
        <v/>
      </c>
    </row>
    <row r="10" spans="1:40" ht="15.75" outlineLevel="1" thickBot="1">
      <c r="B10" s="146"/>
      <c r="C10" s="25"/>
      <c r="D10" s="4" t="str">
        <f>IF(CSMINORFALL201336[[#This Row],[Course]]= "","",IFERROR(VLOOKUP(CSMINORFALL201336[[#This Row],[Course]],COURSELIST[],2,FALSE),"Course Not Found!"))</f>
        <v/>
      </c>
      <c r="E10" s="4" t="str">
        <f>IF(CSMINORFALL201336[[#This Row],[Course]]= "","",IFERROR(VLOOKUP(CSMINORFALL201336[[#This Row],[Course]],COURSELIST[],3,FALSE),""))</f>
        <v/>
      </c>
      <c r="F10" s="4" t="str">
        <f>IF(CSMINORFALL201336[[#This Row],[Course]]= "","",IFERROR(VLOOKUP(CSMINORFALL201336[[#This Row],[Course]],COURSELIST[],4,FALSE),""))</f>
        <v/>
      </c>
      <c r="G10" s="4"/>
      <c r="H10" s="4" t="str">
        <f>IF(CSMINORFALL201336[[#This Row],[Course]]= "","",IFERROR(VLOOKUP(CSMINORFALL201336[[#This Row],[Course]],COURSELIST[],6,FALSE),""))</f>
        <v/>
      </c>
      <c r="I10" s="4" t="str">
        <f>IF(CSMINORFALL201336[[#This Row],[Course]]= "","",IFERROR(VLOOKUP(CSMINORFALL201336[[#This Row],[Course]],COURSELIST[],7,FALSE),""))</f>
        <v/>
      </c>
      <c r="J10" s="4" t="str">
        <f>IF(CSMINORFALL201336[[#This Row],[Course]]= "","",IFERROR(VLOOKUP(CSMINORFALL201336[[#This Row],[Course]],COURSELIST[],8,FALSE),""))</f>
        <v/>
      </c>
      <c r="L10" s="146"/>
      <c r="M10" s="16"/>
      <c r="N10" s="4" t="str">
        <f>IF(CSMINORWINTERIM201441[[#This Row],[Course]]= "","",IFERROR(VLOOKUP(CSMINORWINTERIM201441[[#This Row],[Course]],COURSELIST[],2,FALSE), "Class Not Found!"))</f>
        <v/>
      </c>
      <c r="O10" s="4" t="str">
        <f>IF(CSMINORWINTERIM201441[[#This Row],[Course]]= "","",IFERROR(VLOOKUP(CSMINORWINTERIM201441[[#This Row],[Course]],COURSELIST[],3,FALSE),""))</f>
        <v/>
      </c>
      <c r="P10" s="4" t="str">
        <f>IF(CSMINORWINTERIM201441[[#This Row],[Course]]= "","",IFERROR(VLOOKUP(CSMINORWINTERIM201441[[#This Row],[Course]],COURSELIST[],4,FALSE),""))</f>
        <v/>
      </c>
      <c r="Q10" s="4"/>
      <c r="R10" s="4" t="str">
        <f>IF(CSMINORWINTERIM201441[[#This Row],[Course]]= "","",IFERROR(VLOOKUP(CSMINORWINTERIM201441[[#This Row],[Course]],COURSELIST[],6,FALSE),""))</f>
        <v/>
      </c>
      <c r="S10" s="4" t="str">
        <f>IF(CSMINORWINTERIM201441[[#This Row],[Course]]= "","",IFERROR(VLOOKUP(CSMINORWINTERIM201441[[#This Row],[Course]],COURSELIST[],7,FALSE),""))</f>
        <v/>
      </c>
      <c r="T10" s="4" t="str">
        <f>IF(CSMINORWINTERIM201441[[#This Row],[Course]]= "","",IFERROR(VLOOKUP(CSMINORWINTERIM201441[[#This Row],[Course]],COURSELIST[],8,FALSE),""))</f>
        <v/>
      </c>
      <c r="V10" s="146"/>
      <c r="W10" s="16"/>
      <c r="X10" s="3" t="str">
        <f>IF(Table102940[[#This Row],[Course]]= "","",IFERROR(VLOOKUP(Table102940[[#This Row],[Course]],COURSELIST[],2,FALSE), "Class Not Found!"))</f>
        <v/>
      </c>
      <c r="Y10" s="3" t="str">
        <f>IF(Table102940[[#This Row],[Course]]= "","",IFERROR(VLOOKUP(Table102940[[#This Row],[Course]],COURSELIST[],3,FALSE),""))</f>
        <v/>
      </c>
      <c r="Z10" s="4" t="str">
        <f>IF(Table102940[[#This Row],[Course]]= "","",IFERROR(VLOOKUP(Table102940[[#This Row],[Course]],COURSELIST[],4,FALSE),""))</f>
        <v/>
      </c>
      <c r="AA10" s="4"/>
      <c r="AB10" s="4" t="str">
        <f>IF(Table102940[[#This Row],[Course]]= "","",IFERROR(VLOOKUP(Table102940[[#This Row],[Course]],COURSELIST[],6,FALSE),""))</f>
        <v/>
      </c>
      <c r="AC10" s="4" t="str">
        <f>IF(Table102940[[#This Row],[Course]]= "","",IFERROR(VLOOKUP(Table102940[[#This Row],[Course]],COURSELIST[],7,FALSE),""))</f>
        <v/>
      </c>
      <c r="AD10" s="4" t="str">
        <f>IF(Table102940[[#This Row],[Course]]= "","",IFERROR(VLOOKUP(Table102940[[#This Row],[Course]],COURSELIST[],8,FALSE),""))</f>
        <v/>
      </c>
      <c r="AF10" s="146"/>
      <c r="AG10" s="28"/>
      <c r="AH10" s="3" t="str">
        <f>IF(Table92839495253542[[#This Row],[Course]]= "","",IFERROR(VLOOKUP(Table92839495253542[[#This Row],[Course]],COURSELIST[],2,FALSE),"Course Not Found!"))</f>
        <v/>
      </c>
      <c r="AI10" s="3" t="str">
        <f>IF(Table92839495253542[[#This Row],[Course]]= "","",IFERROR(VLOOKUP(Table92839495253542[[#This Row],[Course]],COURSELIST[],3,FALSE),""))</f>
        <v/>
      </c>
      <c r="AJ10" s="3" t="str">
        <f>IF(Table92839495253542[[#This Row],[Course]]= "","",IFERROR(VLOOKUP(Table92839495253542[[#This Row],[Course]],COURSELIST[],4,FALSE),""))</f>
        <v/>
      </c>
      <c r="AL10" s="3" t="str">
        <f>IF(Table92839495253542[[#This Row],[Course]]= "","",IFERROR(VLOOKUP(Table92839495253542[[#This Row],[Course]],COURSELIST[],6,FALSE),""))</f>
        <v/>
      </c>
      <c r="AM10" s="3" t="str">
        <f>IF(Table92839495253542[[#This Row],[Course]]= "","",IFERROR(VLOOKUP(Table92839495253542[[#This Row],[Course]],COURSELIST[],7,FALSE),""))</f>
        <v/>
      </c>
      <c r="AN10" s="3" t="str">
        <f>IF(Table92839495253542[[#This Row],[Course]]= "","",IFERROR(VLOOKUP(Table92839495253542[[#This Row],[Course]],COURSELIST[],8,FALSE),""))</f>
        <v/>
      </c>
    </row>
    <row r="11" spans="1:40" s="5" customFormat="1" outlineLevel="1">
      <c r="C11" s="3"/>
      <c r="D11" s="3"/>
      <c r="E11" s="3" t="s">
        <v>10</v>
      </c>
      <c r="F11" s="3">
        <f>SUM(F4:F9)</f>
        <v>0</v>
      </c>
      <c r="G11" s="3"/>
      <c r="H11" s="3"/>
      <c r="I11" s="3" t="s">
        <v>27</v>
      </c>
      <c r="J11" s="3">
        <f>SUM(J4:J10)</f>
        <v>0</v>
      </c>
      <c r="M11" s="3"/>
      <c r="N11" s="3"/>
      <c r="O11" s="3" t="s">
        <v>10</v>
      </c>
      <c r="P11" s="3">
        <f>SUM(P4:P10)</f>
        <v>0</v>
      </c>
      <c r="Q11" s="3"/>
      <c r="R11" s="3"/>
      <c r="S11" s="3" t="s">
        <v>27</v>
      </c>
      <c r="T11" s="3">
        <f>SUM(T4:T10)</f>
        <v>0</v>
      </c>
      <c r="W11" s="3"/>
      <c r="X11" s="3"/>
      <c r="Y11" s="3" t="s">
        <v>10</v>
      </c>
      <c r="Z11" s="3">
        <f>SUM(Z4:Z10)</f>
        <v>0</v>
      </c>
      <c r="AA11" s="3"/>
      <c r="AB11" s="3"/>
      <c r="AC11" s="3" t="s">
        <v>27</v>
      </c>
      <c r="AD11" s="3">
        <f>SUM(AD4:AD10)</f>
        <v>0</v>
      </c>
      <c r="AG11" s="3"/>
      <c r="AH11" s="3"/>
      <c r="AI11" s="3" t="s">
        <v>10</v>
      </c>
      <c r="AJ11" s="3">
        <f>SUM(AJ4:AJ10)</f>
        <v>0</v>
      </c>
      <c r="AK11" s="3"/>
      <c r="AL11" s="3"/>
      <c r="AM11" s="3" t="s">
        <v>27</v>
      </c>
      <c r="AN11" s="3">
        <f>SUM(AN4:AN10)</f>
        <v>0</v>
      </c>
    </row>
    <row r="12" spans="1:40" outlineLevel="1">
      <c r="E12" s="3" t="s">
        <v>18</v>
      </c>
      <c r="F12" s="3">
        <f>F11+StartingCredits</f>
        <v>0</v>
      </c>
      <c r="G12" s="5"/>
      <c r="I12" s="3" t="s">
        <v>17</v>
      </c>
      <c r="J12" s="3">
        <f>J11</f>
        <v>0</v>
      </c>
      <c r="O12" s="3" t="s">
        <v>18</v>
      </c>
      <c r="P12" s="3">
        <f>F12+P11</f>
        <v>0</v>
      </c>
      <c r="R12" s="5"/>
      <c r="S12" s="3" t="s">
        <v>17</v>
      </c>
      <c r="T12" s="3">
        <f>T11+J12</f>
        <v>0</v>
      </c>
      <c r="Y12" s="3" t="s">
        <v>18</v>
      </c>
      <c r="Z12" s="3">
        <f>Z11+P12</f>
        <v>0</v>
      </c>
      <c r="AB12" s="5"/>
      <c r="AC12" s="3" t="s">
        <v>17</v>
      </c>
      <c r="AD12" s="3">
        <f>AD11+T12</f>
        <v>0</v>
      </c>
      <c r="AI12" s="3" t="s">
        <v>18</v>
      </c>
      <c r="AJ12" s="3">
        <f>AJ11+Z12</f>
        <v>0</v>
      </c>
      <c r="AM12" s="3" t="s">
        <v>17</v>
      </c>
      <c r="AN12" s="3">
        <f>AN11+AD12</f>
        <v>0</v>
      </c>
    </row>
    <row r="13" spans="1:40" outlineLevel="1">
      <c r="C13" s="5"/>
      <c r="D13" s="5"/>
      <c r="E13" s="5" t="s">
        <v>19</v>
      </c>
      <c r="F13" s="5">
        <f>F11</f>
        <v>0</v>
      </c>
      <c r="H13" s="5"/>
      <c r="I13" s="3" t="s">
        <v>14</v>
      </c>
      <c r="J13" s="3" t="e">
        <f>J11/F11</f>
        <v>#DIV/0!</v>
      </c>
      <c r="M13" s="5"/>
      <c r="N13" s="5"/>
      <c r="O13" s="5" t="s">
        <v>19</v>
      </c>
      <c r="P13" s="5">
        <f>P11+F13</f>
        <v>0</v>
      </c>
      <c r="Q13" s="5"/>
      <c r="S13" s="3" t="s">
        <v>14</v>
      </c>
      <c r="T13" s="3" t="e">
        <f>T11/P11</f>
        <v>#DIV/0!</v>
      </c>
      <c r="W13" s="5"/>
      <c r="X13" s="5"/>
      <c r="Y13" s="5" t="s">
        <v>19</v>
      </c>
      <c r="Z13" s="5">
        <f>Z11+P13</f>
        <v>0</v>
      </c>
      <c r="AA13" s="5"/>
      <c r="AC13" s="3" t="s">
        <v>14</v>
      </c>
      <c r="AD13" s="3" t="e">
        <f>AD11/Z11</f>
        <v>#DIV/0!</v>
      </c>
      <c r="AG13" s="5"/>
      <c r="AH13" s="5"/>
      <c r="AI13" s="5" t="s">
        <v>19</v>
      </c>
      <c r="AJ13" s="5">
        <f>AJ11+Z13</f>
        <v>0</v>
      </c>
      <c r="AK13" s="5"/>
      <c r="AM13" s="3" t="s">
        <v>14</v>
      </c>
      <c r="AN13" s="3" t="e">
        <f>AN11/AJ11</f>
        <v>#DIV/0!</v>
      </c>
    </row>
    <row r="14" spans="1:40" outlineLevel="1">
      <c r="I14" s="5" t="s">
        <v>16</v>
      </c>
      <c r="J14" s="5" t="e">
        <f>J12/F13</f>
        <v>#DIV/0!</v>
      </c>
      <c r="K14" s="5"/>
      <c r="L14" s="5"/>
      <c r="S14" s="5" t="s">
        <v>16</v>
      </c>
      <c r="T14" s="5" t="e">
        <f>T12/P13</f>
        <v>#DIV/0!</v>
      </c>
      <c r="U14" s="5"/>
      <c r="V14" s="5"/>
      <c r="AC14" s="5" t="s">
        <v>16</v>
      </c>
      <c r="AD14" s="5" t="e">
        <f>AD12/Z13</f>
        <v>#DIV/0!</v>
      </c>
      <c r="AM14" s="5" t="s">
        <v>16</v>
      </c>
      <c r="AN14" s="5" t="e">
        <f>AN12/AJ13</f>
        <v>#DIV/0!</v>
      </c>
    </row>
    <row r="15" spans="1:40" ht="15.75" outlineLevel="1" thickBot="1">
      <c r="I15" s="5"/>
      <c r="J15" s="5"/>
      <c r="K15" s="5"/>
      <c r="L15" s="5"/>
      <c r="S15" s="5"/>
      <c r="T15" s="5"/>
      <c r="U15" s="5"/>
      <c r="V15" s="5"/>
      <c r="AC15" s="5"/>
      <c r="AD15" s="5"/>
      <c r="AM15" s="5"/>
      <c r="AN15" s="5"/>
    </row>
    <row r="16" spans="1:40" s="23" customFormat="1" ht="21.75" thickBot="1">
      <c r="A16" s="99" t="s">
        <v>89</v>
      </c>
      <c r="D16" s="96"/>
      <c r="E16" s="3"/>
      <c r="F16" s="3"/>
      <c r="G16" s="3"/>
      <c r="H16" s="3"/>
      <c r="I16" s="3"/>
      <c r="J16" s="5"/>
      <c r="M16" s="3"/>
      <c r="N16" s="3"/>
      <c r="O16" s="3"/>
      <c r="P16" s="3"/>
      <c r="Q16" s="3"/>
      <c r="R16" s="3"/>
      <c r="S16" s="3"/>
      <c r="T16" s="5"/>
      <c r="W16" s="3"/>
      <c r="X16" s="3"/>
      <c r="Y16" s="3"/>
      <c r="Z16" s="3"/>
      <c r="AA16" s="3"/>
      <c r="AB16" s="3"/>
      <c r="AC16" s="3"/>
      <c r="AD16" s="3"/>
    </row>
    <row r="17" spans="1:41" ht="23.25" customHeight="1" outlineLevel="1" thickBot="1">
      <c r="B17" s="146" t="s">
        <v>118</v>
      </c>
      <c r="C17" s="140" t="s">
        <v>0</v>
      </c>
      <c r="D17" s="141"/>
      <c r="E17" s="142"/>
      <c r="F17" s="148" t="str">
        <f>GradeStatus(Z12)&amp;"--"&amp;Z12&amp;" Credits "&amp;F27&amp;" In Progress"</f>
        <v>Freshmen--0 Credits 0 In Progress</v>
      </c>
      <c r="G17" s="149"/>
      <c r="H17" s="149"/>
      <c r="I17" s="149"/>
      <c r="J17" s="149"/>
      <c r="L17" s="146" t="s">
        <v>94</v>
      </c>
      <c r="M17" s="143" t="s">
        <v>29</v>
      </c>
      <c r="N17" s="144"/>
      <c r="O17" s="145"/>
      <c r="P17" s="150" t="str">
        <f>GradeStatus(F27)&amp;"--"&amp;F27&amp;" Credits "&amp;P27&amp;" In Progress"</f>
        <v>Freshmen--0 Credits 0 In Progress</v>
      </c>
      <c r="Q17" s="151"/>
      <c r="R17" s="151"/>
      <c r="S17" s="151"/>
      <c r="T17" s="151"/>
      <c r="V17" s="146" t="s">
        <v>95</v>
      </c>
      <c r="W17" s="152" t="s">
        <v>3</v>
      </c>
      <c r="X17" s="153"/>
      <c r="Y17" s="154"/>
      <c r="Z17" s="160" t="str">
        <f>GradeStatus(P27)&amp;"--"&amp;P27&amp;" Credits "&amp;Z27&amp;" In Progress"</f>
        <v>Freshmen--0 Credits 0 In Progress</v>
      </c>
      <c r="AA17" s="161"/>
      <c r="AB17" s="161"/>
      <c r="AC17" s="161"/>
      <c r="AD17" s="161"/>
      <c r="AF17" s="146" t="s">
        <v>96</v>
      </c>
      <c r="AG17" s="155" t="s">
        <v>58</v>
      </c>
      <c r="AH17" s="156"/>
      <c r="AI17" s="157"/>
      <c r="AJ17" s="158" t="str">
        <f>GradeStatus(Z27)&amp;"--"&amp;Z27&amp;" Credits "&amp;AJ27&amp;" In Progress"</f>
        <v>Freshmen--0 Credits 0 In Progress</v>
      </c>
      <c r="AK17" s="159"/>
      <c r="AL17" s="159"/>
      <c r="AM17" s="159"/>
      <c r="AN17" s="159"/>
    </row>
    <row r="18" spans="1:41" ht="15.75" outlineLevel="1" thickBot="1">
      <c r="B18" s="146"/>
      <c r="C18" s="3" t="s">
        <v>20</v>
      </c>
      <c r="D18" s="3" t="s">
        <v>24</v>
      </c>
      <c r="E18" s="3" t="s">
        <v>25</v>
      </c>
      <c r="F18" s="3" t="s">
        <v>10</v>
      </c>
      <c r="G18" s="3" t="s">
        <v>26</v>
      </c>
      <c r="H18" s="3" t="s">
        <v>12</v>
      </c>
      <c r="I18" s="3" t="s">
        <v>36</v>
      </c>
      <c r="J18" s="3" t="s">
        <v>28</v>
      </c>
      <c r="L18" s="146"/>
      <c r="M18" s="3" t="s">
        <v>20</v>
      </c>
      <c r="N18" s="3" t="s">
        <v>24</v>
      </c>
      <c r="O18" s="3" t="s">
        <v>25</v>
      </c>
      <c r="P18" s="3" t="s">
        <v>10</v>
      </c>
      <c r="Q18" s="3" t="s">
        <v>26</v>
      </c>
      <c r="R18" s="3" t="s">
        <v>12</v>
      </c>
      <c r="S18" s="3" t="s">
        <v>36</v>
      </c>
      <c r="T18" s="3" t="s">
        <v>28</v>
      </c>
      <c r="V18" s="146"/>
      <c r="W18" s="3" t="s">
        <v>20</v>
      </c>
      <c r="X18" s="3" t="s">
        <v>24</v>
      </c>
      <c r="Y18" s="3" t="s">
        <v>25</v>
      </c>
      <c r="Z18" s="3" t="s">
        <v>10</v>
      </c>
      <c r="AA18" s="3" t="s">
        <v>26</v>
      </c>
      <c r="AB18" s="3" t="s">
        <v>12</v>
      </c>
      <c r="AC18" s="3" t="s">
        <v>36</v>
      </c>
      <c r="AD18" s="3" t="s">
        <v>28</v>
      </c>
      <c r="AF18" s="146"/>
      <c r="AG18" s="3" t="s">
        <v>20</v>
      </c>
      <c r="AH18" s="3" t="s">
        <v>24</v>
      </c>
      <c r="AI18" s="3" t="s">
        <v>25</v>
      </c>
      <c r="AJ18" s="3" t="s">
        <v>10</v>
      </c>
      <c r="AK18" s="3" t="s">
        <v>26</v>
      </c>
      <c r="AL18" s="3" t="s">
        <v>12</v>
      </c>
      <c r="AM18" s="3" t="s">
        <v>36</v>
      </c>
      <c r="AN18" s="3" t="s">
        <v>28</v>
      </c>
    </row>
    <row r="19" spans="1:41" ht="15.75" outlineLevel="1" thickBot="1">
      <c r="B19" s="146"/>
      <c r="C19" s="16"/>
      <c r="D19" s="3" t="str">
        <f>IF(Table52435[[#This Row],[Course]]= "","",IFERROR(VLOOKUP(Table52435[[#This Row],[Course]],COURSELIST[],2,FALSE),"Course Not Found!"))</f>
        <v/>
      </c>
      <c r="E19" s="3" t="str">
        <f>IF(Table52435[[#This Row],[Course]]= "","",IFERROR(VLOOKUP(Table52435[[#This Row],[Course]],COURSELIST[],3,FALSE),""))</f>
        <v/>
      </c>
      <c r="F19" s="3" t="str">
        <f>IF(Table52435[[#This Row],[Course]]= "","",IFERROR(VLOOKUP(Table52435[[#This Row],[Course]],COURSELIST[],4,FALSE),""))</f>
        <v/>
      </c>
      <c r="H19" s="3" t="str">
        <f>IF(Table52435[[#This Row],[Course]]= "","",IFERROR(VLOOKUP(Table52435[[#This Row],[Course]],COURSELIST[],6,FALSE),""))</f>
        <v/>
      </c>
      <c r="I19" s="3" t="str">
        <f>IF(Table52435[[#This Row],[Course]]= "","",IFERROR(VLOOKUP(Table52435[[#This Row],[Course]],COURSELIST[],7,FALSE),""))</f>
        <v/>
      </c>
      <c r="J19" s="3" t="str">
        <f>IF(Table52435[[#This Row],[Course]]= "","",IFERROR(VLOOKUP(Table52435[[#This Row],[Course]],COURSELIST[],8,FALSE),""))</f>
        <v/>
      </c>
      <c r="L19" s="146"/>
      <c r="M19" s="16"/>
      <c r="N19" s="3" t="str">
        <f>IF(Table123142[[#This Row],[Course]]= "","",IFERROR(VLOOKUP(Table123142[[#This Row],[Course]],COURSELIST[],2,FALSE),"Course Not Found!"))</f>
        <v/>
      </c>
      <c r="O19" s="3" t="str">
        <f>IF(Table123142[[#This Row],[Course]]= "","",IFERROR(VLOOKUP(Table123142[[#This Row],[Course]],COURSELIST[],3,FALSE),""))</f>
        <v/>
      </c>
      <c r="P19" s="3" t="str">
        <f>IF(Table123142[[#This Row],[Course]]= "","",IFERROR(VLOOKUP(Table123142[[#This Row],[Course]],COURSELIST[],4,FALSE),""))</f>
        <v/>
      </c>
      <c r="R19" s="3" t="str">
        <f>IF(Table123142[[#This Row],[Course]]= "","",IFERROR(VLOOKUP(Table123142[[#This Row],[Course]],COURSELIST[],6,FALSE),""))</f>
        <v/>
      </c>
      <c r="S19" s="3" t="str">
        <f>IF(Table123142[[#This Row],[Course]]= "","",IFERROR(VLOOKUP(Table123142[[#This Row],[Course]],COURSELIST[],7,FALSE),""))</f>
        <v/>
      </c>
      <c r="T19" s="3" t="str">
        <f>IF(Table123142[[#This Row],[Course]]= "","",IFERROR(VLOOKUP(Table123142[[#This Row],[Course]],COURSELIST[],8,FALSE),""))</f>
        <v/>
      </c>
      <c r="V19" s="146"/>
      <c r="W19" s="16"/>
      <c r="X19" s="3" t="str">
        <f>IF(Table72637[[#This Row],[Course]]= "","",IFERROR(VLOOKUP(Table72637[[#This Row],[Course]],COURSELIST[],2,FALSE),"Course Not Found!"))</f>
        <v/>
      </c>
      <c r="Y19" s="3" t="str">
        <f>IF(Table72637[[#This Row],[Course]]= "","",IFERROR(VLOOKUP(Table72637[[#This Row],[Course]],COURSELIST[],3,FALSE),""))</f>
        <v/>
      </c>
      <c r="Z19" s="3" t="str">
        <f>IF(Table72637[[#This Row],[Course]]= "","",IFERROR(VLOOKUP(Table72637[[#This Row],[Course]],COURSELIST[],4,FALSE),""))</f>
        <v/>
      </c>
      <c r="AB19" s="3" t="str">
        <f>IF(Table72637[[#This Row],[Course]]= "","",IFERROR(VLOOKUP(Table72637[[#This Row],[Course]],COURSELIST[],6,FALSE),""))</f>
        <v/>
      </c>
      <c r="AC19" s="3" t="str">
        <f>IF(Table72637[[#This Row],[Course]]= "","",IFERROR(VLOOKUP(Table72637[[#This Row],[Course]],COURSELIST[],7,FALSE),""))</f>
        <v/>
      </c>
      <c r="AD19" s="4" t="str">
        <f>IF(Table72637[[#This Row],[Course]]= "","",IFERROR(VLOOKUP(Table72637[[#This Row],[Course]],COURSELIST[],8,FALSE),""))</f>
        <v/>
      </c>
      <c r="AF19" s="146"/>
      <c r="AG19" s="16"/>
      <c r="AH19" s="3" t="str">
        <f>IF(Table9283949525354[[#This Row],[Course]]= "","",IFERROR(VLOOKUP(Table9283949525354[[#This Row],[Course]],COURSELIST[],2,FALSE),"Course Not Found!"))</f>
        <v/>
      </c>
      <c r="AI19" s="3" t="str">
        <f>IF(Table9283949525354[[#This Row],[Course]]= "","",IFERROR(VLOOKUP(Table9283949525354[[#This Row],[Course]],COURSELIST[],3,FALSE),""))</f>
        <v/>
      </c>
      <c r="AJ19" s="3" t="str">
        <f>IF(Table9283949525354[[#This Row],[Course]]= "","",IFERROR(VLOOKUP(Table9283949525354[[#This Row],[Course]],COURSELIST[],4,FALSE),""))</f>
        <v/>
      </c>
      <c r="AL19" s="3" t="str">
        <f>IF(Table9283949525354[[#This Row],[Course]]= "","",IFERROR(VLOOKUP(Table9283949525354[[#This Row],[Course]],COURSELIST[],6,FALSE),""))</f>
        <v/>
      </c>
      <c r="AM19" s="3" t="str">
        <f>IF(Table9283949525354[[#This Row],[Course]]= "","",IFERROR(VLOOKUP(Table9283949525354[[#This Row],[Course]],COURSELIST[],7,FALSE),""))</f>
        <v/>
      </c>
      <c r="AN19" s="3" t="str">
        <f>IF(Table9283949525354[[#This Row],[Course]]= "","",IFERROR(VLOOKUP(Table9283949525354[[#This Row],[Course]],COURSELIST[],8,FALSE),""))</f>
        <v/>
      </c>
    </row>
    <row r="20" spans="1:41" ht="15.75" outlineLevel="1" thickBot="1">
      <c r="B20" s="146"/>
      <c r="C20" s="17"/>
      <c r="D20" s="3" t="str">
        <f>IF(Table52435[[#This Row],[Course]]= "","",IFERROR(VLOOKUP(Table52435[[#This Row],[Course]],COURSELIST[],2,FALSE),"Course Not Found!"))</f>
        <v/>
      </c>
      <c r="E20" s="3" t="str">
        <f>IF(Table52435[[#This Row],[Course]]= "","",IFERROR(VLOOKUP(Table52435[[#This Row],[Course]],COURSELIST[],3,FALSE),""))</f>
        <v/>
      </c>
      <c r="F20" s="3" t="str">
        <f>IF(Table52435[[#This Row],[Course]]= "","",IFERROR(VLOOKUP(Table52435[[#This Row],[Course]],COURSELIST[],4,FALSE),""))</f>
        <v/>
      </c>
      <c r="H20" s="3" t="str">
        <f>IF(Table52435[[#This Row],[Course]]= "","",IFERROR(VLOOKUP(Table52435[[#This Row],[Course]],COURSELIST[],6,FALSE),""))</f>
        <v/>
      </c>
      <c r="I20" s="3" t="str">
        <f>IF(Table52435[[#This Row],[Course]]= "","",IFERROR(VLOOKUP(Table52435[[#This Row],[Course]],COURSELIST[],7,FALSE),""))</f>
        <v/>
      </c>
      <c r="J20" s="3" t="str">
        <f>IF(Table52435[[#This Row],[Course]]= "","",IFERROR(VLOOKUP(Table52435[[#This Row],[Course]],COURSELIST[],8,FALSE),""))</f>
        <v/>
      </c>
      <c r="L20" s="146"/>
      <c r="M20" s="16"/>
      <c r="N20" s="3" t="str">
        <f>IF(Table123142[[#This Row],[Course]]= "","",IFERROR(VLOOKUP(Table123142[[#This Row],[Course]],COURSELIST[],2,FALSE),"Course Not Found!"))</f>
        <v/>
      </c>
      <c r="O20" s="3" t="str">
        <f>IF(Table123142[[#This Row],[Course]]= "","",IFERROR(VLOOKUP(Table123142[[#This Row],[Course]],COURSELIST[],3,FALSE),""))</f>
        <v/>
      </c>
      <c r="P20" s="3" t="str">
        <f>IF(Table123142[[#This Row],[Course]]= "","",IFERROR(VLOOKUP(Table123142[[#This Row],[Course]],COURSELIST[],4,FALSE),""))</f>
        <v/>
      </c>
      <c r="R20" s="3" t="str">
        <f>IF(Table123142[[#This Row],[Course]]= "","",IFERROR(VLOOKUP(Table123142[[#This Row],[Course]],COURSELIST[],6,FALSE),""))</f>
        <v/>
      </c>
      <c r="S20" s="3" t="str">
        <f>IF(Table123142[[#This Row],[Course]]= "","",IFERROR(VLOOKUP(Table123142[[#This Row],[Course]],COURSELIST[],7,FALSE),""))</f>
        <v/>
      </c>
      <c r="T20" s="3" t="str">
        <f>IF(Table123142[[#This Row],[Course]]= "","",IFERROR(VLOOKUP(Table123142[[#This Row],[Course]],COURSELIST[],8,FALSE),""))</f>
        <v/>
      </c>
      <c r="V20" s="146"/>
      <c r="W20" s="25"/>
      <c r="X20" s="3" t="str">
        <f>IF(Table72637[[#This Row],[Course]]= "","",IFERROR(VLOOKUP(Table72637[[#This Row],[Course]],COURSELIST[],2,FALSE),"Course Not Found!"))</f>
        <v/>
      </c>
      <c r="Y20" s="3" t="str">
        <f>IF(Table72637[[#This Row],[Course]]= "","",IFERROR(VLOOKUP(Table72637[[#This Row],[Course]],COURSELIST[],3,FALSE),""))</f>
        <v/>
      </c>
      <c r="Z20" s="3" t="str">
        <f>IF(Table72637[[#This Row],[Course]]= "","",IFERROR(VLOOKUP(Table72637[[#This Row],[Course]],COURSELIST[],4,FALSE),""))</f>
        <v/>
      </c>
      <c r="AB20" s="3" t="str">
        <f>IF(Table72637[[#This Row],[Course]]= "","",IFERROR(VLOOKUP(Table72637[[#This Row],[Course]],COURSELIST[],6,FALSE),""))</f>
        <v/>
      </c>
      <c r="AC20" s="3" t="str">
        <f>IF(Table72637[[#This Row],[Course]]= "","",IFERROR(VLOOKUP(Table72637[[#This Row],[Course]],COURSELIST[],7,FALSE),""))</f>
        <v/>
      </c>
      <c r="AD20" s="4" t="str">
        <f>IF(Table72637[[#This Row],[Course]]= "","",IFERROR(VLOOKUP(Table72637[[#This Row],[Course]],COURSELIST[],8,FALSE),""))</f>
        <v/>
      </c>
      <c r="AF20" s="146"/>
      <c r="AG20" s="25"/>
      <c r="AH20" s="3" t="str">
        <f>IF(Table9283949525354[[#This Row],[Course]]= "","",IFERROR(VLOOKUP(Table9283949525354[[#This Row],[Course]],COURSELIST[],2,FALSE),"Course Not Found!"))</f>
        <v/>
      </c>
      <c r="AI20" s="3" t="str">
        <f>IF(Table9283949525354[[#This Row],[Course]]= "","",IFERROR(VLOOKUP(Table9283949525354[[#This Row],[Course]],COURSELIST[],3,FALSE),""))</f>
        <v/>
      </c>
      <c r="AJ20" s="3" t="str">
        <f>IF(Table9283949525354[[#This Row],[Course]]= "","",IFERROR(VLOOKUP(Table9283949525354[[#This Row],[Course]],COURSELIST[],4,FALSE),""))</f>
        <v/>
      </c>
      <c r="AL20" s="3" t="str">
        <f>IF(Table9283949525354[[#This Row],[Course]]= "","",IFERROR(VLOOKUP(Table9283949525354[[#This Row],[Course]],COURSELIST[],6,FALSE),""))</f>
        <v/>
      </c>
      <c r="AM20" s="3" t="str">
        <f>IF(Table9283949525354[[#This Row],[Course]]= "","",IFERROR(VLOOKUP(Table9283949525354[[#This Row],[Course]],COURSELIST[],7,FALSE),""))</f>
        <v/>
      </c>
      <c r="AN20" s="3" t="str">
        <f>IF(Table9283949525354[[#This Row],[Course]]= "","",IFERROR(VLOOKUP(Table9283949525354[[#This Row],[Course]],COURSELIST[],8,FALSE),""))</f>
        <v/>
      </c>
    </row>
    <row r="21" spans="1:41" s="5" customFormat="1" ht="15.75" outlineLevel="1" thickBot="1">
      <c r="B21" s="146"/>
      <c r="C21" s="26"/>
      <c r="D21" s="3" t="str">
        <f>IF(Table52435[[#This Row],[Course]]= "","",IFERROR(VLOOKUP(Table52435[[#This Row],[Course]],COURSELIST[],2,FALSE),"Course Not Found!"))</f>
        <v/>
      </c>
      <c r="E21" s="3" t="str">
        <f>IF(Table52435[[#This Row],[Course]]= "","",IFERROR(VLOOKUP(Table52435[[#This Row],[Course]],COURSELIST[],3,FALSE),""))</f>
        <v/>
      </c>
      <c r="F21" s="3" t="str">
        <f>IF(Table52435[[#This Row],[Course]]= "","",IFERROR(VLOOKUP(Table52435[[#This Row],[Course]],COURSELIST[],4,FALSE),""))</f>
        <v/>
      </c>
      <c r="G21" s="3"/>
      <c r="H21" s="3" t="str">
        <f>IF(Table52435[[#This Row],[Course]]= "","",IFERROR(VLOOKUP(Table52435[[#This Row],[Course]],COURSELIST[],6,FALSE),""))</f>
        <v/>
      </c>
      <c r="I21" s="3" t="str">
        <f>IF(Table52435[[#This Row],[Course]]= "","",IFERROR(VLOOKUP(Table52435[[#This Row],[Course]],COURSELIST[],7,FALSE),""))</f>
        <v/>
      </c>
      <c r="J21" s="3" t="str">
        <f>IF(Table52435[[#This Row],[Course]]= "","",IFERROR(VLOOKUP(Table52435[[#This Row],[Course]],COURSELIST[],8,FALSE),""))</f>
        <v/>
      </c>
      <c r="K21" s="3"/>
      <c r="L21" s="146"/>
      <c r="M21" s="16"/>
      <c r="N21" s="3" t="str">
        <f>IF(Table123142[[#This Row],[Course]]= "","",IFERROR(VLOOKUP(Table123142[[#This Row],[Course]],COURSELIST[],2,FALSE),"Course Not Found!"))</f>
        <v/>
      </c>
      <c r="O21" s="3" t="str">
        <f>IF(Table123142[[#This Row],[Course]]= "","",IFERROR(VLOOKUP(Table123142[[#This Row],[Course]],COURSELIST[],3,FALSE),""))</f>
        <v/>
      </c>
      <c r="P21" s="3" t="str">
        <f>IF(Table123142[[#This Row],[Course]]= "","",IFERROR(VLOOKUP(Table123142[[#This Row],[Course]],COURSELIST[],4,FALSE),""))</f>
        <v/>
      </c>
      <c r="Q21" s="3"/>
      <c r="R21" s="3" t="str">
        <f>IF(Table123142[[#This Row],[Course]]= "","",IFERROR(VLOOKUP(Table123142[[#This Row],[Course]],COURSELIST[],6,FALSE),""))</f>
        <v/>
      </c>
      <c r="S21" s="3" t="str">
        <f>IF(Table123142[[#This Row],[Course]]= "","",IFERROR(VLOOKUP(Table123142[[#This Row],[Course]],COURSELIST[],7,FALSE),""))</f>
        <v/>
      </c>
      <c r="T21" s="3" t="str">
        <f>IF(Table123142[[#This Row],[Course]]= "","",IFERROR(VLOOKUP(Table123142[[#This Row],[Course]],COURSELIST[],8,FALSE),""))</f>
        <v/>
      </c>
      <c r="U21" s="3"/>
      <c r="V21" s="146"/>
      <c r="W21" s="16"/>
      <c r="X21" s="3" t="str">
        <f>IF(Table72637[[#This Row],[Course]]= "","",IFERROR(VLOOKUP(Table72637[[#This Row],[Course]],COURSELIST[],2,FALSE),"Course Not Found!"))</f>
        <v/>
      </c>
      <c r="Y21" s="3" t="str">
        <f>IF(Table72637[[#This Row],[Course]]= "","",IFERROR(VLOOKUP(Table72637[[#This Row],[Course]],COURSELIST[],3,FALSE),""))</f>
        <v/>
      </c>
      <c r="Z21" s="3" t="str">
        <f>IF(Table72637[[#This Row],[Course]]= "","",IFERROR(VLOOKUP(Table72637[[#This Row],[Course]],COURSELIST[],4,FALSE),""))</f>
        <v/>
      </c>
      <c r="AA21" s="3"/>
      <c r="AB21" s="3" t="str">
        <f>IF(Table72637[[#This Row],[Course]]= "","",IFERROR(VLOOKUP(Table72637[[#This Row],[Course]],COURSELIST[],6,FALSE),""))</f>
        <v/>
      </c>
      <c r="AC21" s="3" t="str">
        <f>IF(Table72637[[#This Row],[Course]]= "","",IFERROR(VLOOKUP(Table72637[[#This Row],[Course]],COURSELIST[],7,FALSE),""))</f>
        <v/>
      </c>
      <c r="AD21" s="4" t="str">
        <f>IF(Table72637[[#This Row],[Course]]= "","",IFERROR(VLOOKUP(Table72637[[#This Row],[Course]],COURSELIST[],8,FALSE),""))</f>
        <v/>
      </c>
      <c r="AF21" s="146"/>
      <c r="AG21" s="16"/>
      <c r="AH21" s="3" t="str">
        <f>IF(Table9283949525354[[#This Row],[Course]]= "","",IFERROR(VLOOKUP(Table9283949525354[[#This Row],[Course]],COURSELIST[],2,FALSE),"Course Not Found!"))</f>
        <v/>
      </c>
      <c r="AI21" s="3" t="str">
        <f>IF(Table9283949525354[[#This Row],[Course]]= "","",IFERROR(VLOOKUP(Table9283949525354[[#This Row],[Course]],COURSELIST[],3,FALSE),""))</f>
        <v/>
      </c>
      <c r="AJ21" s="3" t="str">
        <f>IF(Table9283949525354[[#This Row],[Course]]= "","",IFERROR(VLOOKUP(Table9283949525354[[#This Row],[Course]],COURSELIST[],4,FALSE),""))</f>
        <v/>
      </c>
      <c r="AK21" s="3"/>
      <c r="AL21" s="3" t="str">
        <f>IF(Table9283949525354[[#This Row],[Course]]= "","",IFERROR(VLOOKUP(Table9283949525354[[#This Row],[Course]],COURSELIST[],6,FALSE),""))</f>
        <v/>
      </c>
      <c r="AM21" s="3" t="str">
        <f>IF(Table9283949525354[[#This Row],[Course]]= "","",IFERROR(VLOOKUP(Table9283949525354[[#This Row],[Course]],COURSELIST[],7,FALSE),""))</f>
        <v/>
      </c>
      <c r="AN21" s="3" t="str">
        <f>IF(Table9283949525354[[#This Row],[Course]]= "","",IFERROR(VLOOKUP(Table9283949525354[[#This Row],[Course]],COURSELIST[],8,FALSE),""))</f>
        <v/>
      </c>
    </row>
    <row r="22" spans="1:41" s="5" customFormat="1" ht="15.75" outlineLevel="1" thickBot="1">
      <c r="B22" s="146"/>
      <c r="C22" s="26"/>
      <c r="D22" s="3" t="str">
        <f>IF(Table52435[[#This Row],[Course]]= "","",IFERROR(VLOOKUP(Table52435[[#This Row],[Course]],COURSELIST[],2,FALSE),"Course Not Found!"))</f>
        <v/>
      </c>
      <c r="E22" s="3" t="str">
        <f>IF(Table52435[[#This Row],[Course]]= "","",IFERROR(VLOOKUP(Table52435[[#This Row],[Course]],COURSELIST[],3,FALSE),""))</f>
        <v/>
      </c>
      <c r="F22" s="3" t="str">
        <f>IF(Table52435[[#This Row],[Course]]= "","",IFERROR(VLOOKUP(Table52435[[#This Row],[Course]],COURSELIST[],4,FALSE),""))</f>
        <v/>
      </c>
      <c r="G22" s="3"/>
      <c r="H22" s="3" t="str">
        <f>IF(Table52435[[#This Row],[Course]]= "","",IFERROR(VLOOKUP(Table52435[[#This Row],[Course]],COURSELIST[],6,FALSE),""))</f>
        <v/>
      </c>
      <c r="I22" s="3" t="str">
        <f>IF(Table52435[[#This Row],[Course]]= "","",IFERROR(VLOOKUP(Table52435[[#This Row],[Course]],COURSELIST[],7,FALSE),""))</f>
        <v/>
      </c>
      <c r="J22" s="3" t="str">
        <f>IF(Table52435[[#This Row],[Course]]= "","",IFERROR(VLOOKUP(Table52435[[#This Row],[Course]],COURSELIST[],8,FALSE),""))</f>
        <v/>
      </c>
      <c r="K22" s="3"/>
      <c r="L22" s="146"/>
      <c r="M22" s="16"/>
      <c r="N22" s="3" t="str">
        <f>IF(Table123142[[#This Row],[Course]]= "","",IFERROR(VLOOKUP(Table123142[[#This Row],[Course]],COURSELIST[],2,FALSE),"Course Not Found!"))</f>
        <v/>
      </c>
      <c r="O22" s="3" t="str">
        <f>IF(Table123142[[#This Row],[Course]]= "","",IFERROR(VLOOKUP(Table123142[[#This Row],[Course]],COURSELIST[],3,FALSE),""))</f>
        <v/>
      </c>
      <c r="P22" s="3" t="str">
        <f>IF(Table123142[[#This Row],[Course]]= "","",IFERROR(VLOOKUP(Table123142[[#This Row],[Course]],COURSELIST[],4,FALSE),""))</f>
        <v/>
      </c>
      <c r="Q22" s="3"/>
      <c r="R22" s="3" t="str">
        <f>IF(Table123142[[#This Row],[Course]]= "","",IFERROR(VLOOKUP(Table123142[[#This Row],[Course]],COURSELIST[],6,FALSE),""))</f>
        <v/>
      </c>
      <c r="S22" s="3" t="str">
        <f>IF(Table123142[[#This Row],[Course]]= "","",IFERROR(VLOOKUP(Table123142[[#This Row],[Course]],COURSELIST[],7,FALSE),""))</f>
        <v/>
      </c>
      <c r="T22" s="3" t="str">
        <f>IF(Table123142[[#This Row],[Course]]= "","",IFERROR(VLOOKUP(Table123142[[#This Row],[Course]],COURSELIST[],8,FALSE),""))</f>
        <v/>
      </c>
      <c r="U22" s="3"/>
      <c r="V22" s="146"/>
      <c r="W22" s="25"/>
      <c r="X22" s="3" t="str">
        <f>IF(Table72637[[#This Row],[Course]]= "","",IFERROR(VLOOKUP(Table72637[[#This Row],[Course]],COURSELIST[],2,FALSE),"Course Not Found!"))</f>
        <v/>
      </c>
      <c r="Y22" s="3" t="str">
        <f>IF(Table72637[[#This Row],[Course]]= "","",IFERROR(VLOOKUP(Table72637[[#This Row],[Course]],COURSELIST[],3,FALSE),""))</f>
        <v/>
      </c>
      <c r="Z22" s="3" t="str">
        <f>IF(Table72637[[#This Row],[Course]]= "","",IFERROR(VLOOKUP(Table72637[[#This Row],[Course]],COURSELIST[],4,FALSE),""))</f>
        <v/>
      </c>
      <c r="AA22" s="3"/>
      <c r="AB22" s="3" t="str">
        <f>IF(Table72637[[#This Row],[Course]]= "","",IFERROR(VLOOKUP(Table72637[[#This Row],[Course]],COURSELIST[],6,FALSE),""))</f>
        <v/>
      </c>
      <c r="AC22" s="3" t="str">
        <f>IF(Table72637[[#This Row],[Course]]= "","",IFERROR(VLOOKUP(Table72637[[#This Row],[Course]],COURSELIST[],7,FALSE),""))</f>
        <v/>
      </c>
      <c r="AD22" s="4" t="str">
        <f>IF(Table72637[[#This Row],[Course]]= "","",IFERROR(VLOOKUP(Table72637[[#This Row],[Course]],COURSELIST[],8,FALSE),""))</f>
        <v/>
      </c>
      <c r="AF22" s="146"/>
      <c r="AG22" s="16"/>
      <c r="AH22" s="3" t="str">
        <f>IF(Table9283949525354[[#This Row],[Course]]= "","",IFERROR(VLOOKUP(Table9283949525354[[#This Row],[Course]],COURSELIST[],2,FALSE),"Course Not Found!"))</f>
        <v/>
      </c>
      <c r="AI22" s="3" t="str">
        <f>IF(Table9283949525354[[#This Row],[Course]]= "","",IFERROR(VLOOKUP(Table9283949525354[[#This Row],[Course]],COURSELIST[],3,FALSE),""))</f>
        <v/>
      </c>
      <c r="AJ22" s="3" t="str">
        <f>IF(Table9283949525354[[#This Row],[Course]]= "","",IFERROR(VLOOKUP(Table9283949525354[[#This Row],[Course]],COURSELIST[],4,FALSE),""))</f>
        <v/>
      </c>
      <c r="AK22" s="3"/>
      <c r="AL22" s="3" t="str">
        <f>IF(Table9283949525354[[#This Row],[Course]]= "","",IFERROR(VLOOKUP(Table9283949525354[[#This Row],[Course]],COURSELIST[],6,FALSE),""))</f>
        <v/>
      </c>
      <c r="AM22" s="3" t="str">
        <f>IF(Table9283949525354[[#This Row],[Course]]= "","",IFERROR(VLOOKUP(Table9283949525354[[#This Row],[Course]],COURSELIST[],7,FALSE),""))</f>
        <v/>
      </c>
      <c r="AN22" s="3" t="str">
        <f>IF(Table9283949525354[[#This Row],[Course]]= "","",IFERROR(VLOOKUP(Table9283949525354[[#This Row],[Course]],COURSELIST[],8,FALSE),""))</f>
        <v/>
      </c>
    </row>
    <row r="23" spans="1:41" s="5" customFormat="1" ht="15.75" outlineLevel="1" thickBot="1">
      <c r="B23" s="146"/>
      <c r="C23" s="26"/>
      <c r="D23" s="3" t="str">
        <f>IF(Table52435[[#This Row],[Course]]= "","",IFERROR(VLOOKUP(Table52435[[#This Row],[Course]],COURSELIST[],2,FALSE),"Course Not Found!"))</f>
        <v/>
      </c>
      <c r="E23" s="3" t="str">
        <f>IF(Table52435[[#This Row],[Course]]= "","",IFERROR(VLOOKUP(Table52435[[#This Row],[Course]],COURSELIST[],3,FALSE),""))</f>
        <v/>
      </c>
      <c r="F23" s="3" t="str">
        <f>IF(Table52435[[#This Row],[Course]]= "","",IFERROR(VLOOKUP(Table52435[[#This Row],[Course]],COURSELIST[],4,FALSE),""))</f>
        <v/>
      </c>
      <c r="G23" s="3"/>
      <c r="H23" s="3" t="str">
        <f>IF(Table52435[[#This Row],[Course]]= "","",IFERROR(VLOOKUP(Table52435[[#This Row],[Course]],COURSELIST[],6,FALSE),""))</f>
        <v/>
      </c>
      <c r="I23" s="3" t="str">
        <f>IF(Table52435[[#This Row],[Course]]= "","",IFERROR(VLOOKUP(Table52435[[#This Row],[Course]],COURSELIST[],7,FALSE),""))</f>
        <v/>
      </c>
      <c r="J23" s="3" t="str">
        <f>IF(Table52435[[#This Row],[Course]]= "","",IFERROR(VLOOKUP(Table52435[[#This Row],[Course]],COURSELIST[],8,FALSE),""))</f>
        <v/>
      </c>
      <c r="K23" s="3"/>
      <c r="L23" s="146"/>
      <c r="M23" s="16"/>
      <c r="N23" s="3" t="str">
        <f>IF(Table123142[[#This Row],[Course]]= "","",IFERROR(VLOOKUP(Table123142[[#This Row],[Course]],COURSELIST[],2,FALSE),"Course Not Found!"))</f>
        <v/>
      </c>
      <c r="O23" s="3" t="str">
        <f>IF(Table123142[[#This Row],[Course]]= "","",IFERROR(VLOOKUP(Table123142[[#This Row],[Course]],COURSELIST[],3,FALSE),""))</f>
        <v/>
      </c>
      <c r="P23" s="3" t="str">
        <f>IF(Table123142[[#This Row],[Course]]= "","",IFERROR(VLOOKUP(Table123142[[#This Row],[Course]],COURSELIST[],4,FALSE),""))</f>
        <v/>
      </c>
      <c r="Q23" s="3"/>
      <c r="R23" s="3" t="str">
        <f>IF(Table123142[[#This Row],[Course]]= "","",IFERROR(VLOOKUP(Table123142[[#This Row],[Course]],COURSELIST[],6,FALSE),""))</f>
        <v/>
      </c>
      <c r="S23" s="3" t="str">
        <f>IF(Table123142[[#This Row],[Course]]= "","",IFERROR(VLOOKUP(Table123142[[#This Row],[Course]],COURSELIST[],7,FALSE),""))</f>
        <v/>
      </c>
      <c r="T23" s="3" t="str">
        <f>IF(Table123142[[#This Row],[Course]]= "","",IFERROR(VLOOKUP(Table123142[[#This Row],[Course]],COURSELIST[],8,FALSE),""))</f>
        <v/>
      </c>
      <c r="U23" s="3"/>
      <c r="V23" s="146"/>
      <c r="W23" s="16"/>
      <c r="X23" s="3" t="str">
        <f>IF(Table72637[[#This Row],[Course]]= "","",IFERROR(VLOOKUP(Table72637[[#This Row],[Course]],COURSELIST[],2,FALSE),"Course Not Found!"))</f>
        <v/>
      </c>
      <c r="Y23" s="3" t="str">
        <f>IF(Table72637[[#This Row],[Course]]= "","",IFERROR(VLOOKUP(Table72637[[#This Row],[Course]],COURSELIST[],3,FALSE),""))</f>
        <v/>
      </c>
      <c r="Z23" s="3" t="str">
        <f>IF(Table72637[[#This Row],[Course]]= "","",IFERROR(VLOOKUP(Table72637[[#This Row],[Course]],COURSELIST[],4,FALSE),""))</f>
        <v/>
      </c>
      <c r="AA23" s="3"/>
      <c r="AB23" s="3" t="str">
        <f>IF(Table72637[[#This Row],[Course]]= "","",IFERROR(VLOOKUP(Table72637[[#This Row],[Course]],COURSELIST[],6,FALSE),""))</f>
        <v/>
      </c>
      <c r="AC23" s="3" t="str">
        <f>IF(Table72637[[#This Row],[Course]]= "","",IFERROR(VLOOKUP(Table72637[[#This Row],[Course]],COURSELIST[],7,FALSE),""))</f>
        <v/>
      </c>
      <c r="AD23" s="4" t="str">
        <f>IF(Table72637[[#This Row],[Course]]= "","",IFERROR(VLOOKUP(Table72637[[#This Row],[Course]],COURSELIST[],8,FALSE),""))</f>
        <v/>
      </c>
      <c r="AF23" s="146"/>
      <c r="AG23" s="25"/>
      <c r="AH23" s="3" t="str">
        <f>IF(Table9283949525354[[#This Row],[Course]]= "","",IFERROR(VLOOKUP(Table9283949525354[[#This Row],[Course]],COURSELIST[],2,FALSE),"Course Not Found!"))</f>
        <v/>
      </c>
      <c r="AI23" s="3" t="str">
        <f>IF(Table9283949525354[[#This Row],[Course]]= "","",IFERROR(VLOOKUP(Table9283949525354[[#This Row],[Course]],COURSELIST[],3,FALSE),""))</f>
        <v/>
      </c>
      <c r="AJ23" s="3" t="str">
        <f>IF(Table9283949525354[[#This Row],[Course]]= "","",IFERROR(VLOOKUP(Table9283949525354[[#This Row],[Course]],COURSELIST[],4,FALSE),""))</f>
        <v/>
      </c>
      <c r="AK23" s="3"/>
      <c r="AL23" s="3" t="str">
        <f>IF(Table9283949525354[[#This Row],[Course]]= "","",IFERROR(VLOOKUP(Table9283949525354[[#This Row],[Course]],COURSELIST[],6,FALSE),""))</f>
        <v/>
      </c>
      <c r="AM23" s="3" t="str">
        <f>IF(Table9283949525354[[#This Row],[Course]]= "","",IFERROR(VLOOKUP(Table9283949525354[[#This Row],[Course]],COURSELIST[],7,FALSE),""))</f>
        <v/>
      </c>
      <c r="AN23" s="3" t="str">
        <f>IF(Table9283949525354[[#This Row],[Course]]= "","",IFERROR(VLOOKUP(Table9283949525354[[#This Row],[Course]],COURSELIST[],8,FALSE),""))</f>
        <v/>
      </c>
      <c r="AO23" s="3"/>
    </row>
    <row r="24" spans="1:41" s="5" customFormat="1" ht="15.75" outlineLevel="1" thickBot="1">
      <c r="B24" s="146"/>
      <c r="C24" s="26"/>
      <c r="D24" s="3" t="str">
        <f>IF(Table52435[[#This Row],[Course]]= "","",IFERROR(VLOOKUP(Table52435[[#This Row],[Course]],COURSELIST[],2,FALSE),"Course Not Found!"))</f>
        <v/>
      </c>
      <c r="E24" s="3" t="str">
        <f>IF(Table52435[[#This Row],[Course]]= "","",IFERROR(VLOOKUP(Table52435[[#This Row],[Course]],COURSELIST[],3,FALSE),""))</f>
        <v/>
      </c>
      <c r="F24" s="3" t="str">
        <f>IF(Table52435[[#This Row],[Course]]= "","",IFERROR(VLOOKUP(Table52435[[#This Row],[Course]],COURSELIST[],4,FALSE),""))</f>
        <v/>
      </c>
      <c r="G24" s="3"/>
      <c r="H24" s="3" t="str">
        <f>IF(Table52435[[#This Row],[Course]]= "","",IFERROR(VLOOKUP(Table52435[[#This Row],[Course]],COURSELIST[],6,FALSE),""))</f>
        <v/>
      </c>
      <c r="I24" s="3" t="str">
        <f>IF(Table52435[[#This Row],[Course]]= "","",IFERROR(VLOOKUP(Table52435[[#This Row],[Course]],COURSELIST[],7,FALSE),""))</f>
        <v/>
      </c>
      <c r="J24" s="3" t="str">
        <f>IF(Table52435[[#This Row],[Course]]= "","",IFERROR(VLOOKUP(Table52435[[#This Row],[Course]],COURSELIST[],8,FALSE),""))</f>
        <v/>
      </c>
      <c r="L24" s="146"/>
      <c r="M24" s="17"/>
      <c r="N24" s="5" t="str">
        <f>IF(Table123142[[#This Row],[Course]]= "","",IFERROR(VLOOKUP(Table123142[[#This Row],[Course]],COURSELIST[],2,FALSE),"Course Not Found!"))</f>
        <v/>
      </c>
      <c r="O24" s="5" t="str">
        <f>IF(Table123142[[#This Row],[Course]]= "","",IFERROR(VLOOKUP(Table123142[[#This Row],[Course]],COURSELIST[],3,FALSE),""))</f>
        <v/>
      </c>
      <c r="P24" s="5" t="str">
        <f>IF(Table123142[[#This Row],[Course]]= "","",IFERROR(VLOOKUP(Table123142[[#This Row],[Course]],COURSELIST[],4,FALSE),""))</f>
        <v/>
      </c>
      <c r="R24" s="5" t="str">
        <f>IF(Table123142[[#This Row],[Course]]= "","",IFERROR(VLOOKUP(Table123142[[#This Row],[Course]],COURSELIST[],6,FALSE),""))</f>
        <v/>
      </c>
      <c r="S24" s="5" t="str">
        <f>IF(Table123142[[#This Row],[Course]]= "","",IFERROR(VLOOKUP(Table123142[[#This Row],[Course]],COURSELIST[],7,FALSE),""))</f>
        <v/>
      </c>
      <c r="T24" s="3" t="str">
        <f>IF(Table123142[[#This Row],[Course]]= "","",IFERROR(VLOOKUP(Table123142[[#This Row],[Course]],COURSELIST[],8,FALSE),""))</f>
        <v/>
      </c>
      <c r="V24" s="146"/>
      <c r="W24" s="17"/>
      <c r="X24" s="3" t="str">
        <f>IF(Table72637[[#This Row],[Course]]= "","",IFERROR(VLOOKUP(Table72637[[#This Row],[Course]],COURSELIST[],2,FALSE),"Course Not Found!"))</f>
        <v/>
      </c>
      <c r="Y24" s="3" t="str">
        <f>IF(Table72637[[#This Row],[Course]]= "","",IFERROR(VLOOKUP(Table72637[[#This Row],[Course]],COURSELIST[],3,FALSE),""))</f>
        <v/>
      </c>
      <c r="Z24" s="3" t="str">
        <f>IF(Table72637[[#This Row],[Course]]= "","",IFERROR(VLOOKUP(Table72637[[#This Row],[Course]],COURSELIST[],4,FALSE),""))</f>
        <v/>
      </c>
      <c r="AA24" s="3"/>
      <c r="AB24" s="3" t="str">
        <f>IF(Table72637[[#This Row],[Course]]= "","",IFERROR(VLOOKUP(Table72637[[#This Row],[Course]],COURSELIST[],6,FALSE),""))</f>
        <v/>
      </c>
      <c r="AC24" s="3" t="str">
        <f>IF(Table72637[[#This Row],[Course]]= "","",IFERROR(VLOOKUP(Table72637[[#This Row],[Course]],COURSELIST[],7,FALSE),""))</f>
        <v/>
      </c>
      <c r="AD24" s="4" t="str">
        <f>IF(Table72637[[#This Row],[Course]]= "","",IFERROR(VLOOKUP(Table72637[[#This Row],[Course]],COURSELIST[],8,FALSE),""))</f>
        <v/>
      </c>
      <c r="AF24" s="146"/>
      <c r="AG24" s="25"/>
      <c r="AH24" s="3" t="str">
        <f>IF(Table9283949525354[[#This Row],[Course]]= "","",IFERROR(VLOOKUP(Table9283949525354[[#This Row],[Course]],COURSELIST[],2,FALSE),"Course Not Found!"))</f>
        <v/>
      </c>
      <c r="AI24" s="3" t="str">
        <f>IF(Table9283949525354[[#This Row],[Course]]= "","",IFERROR(VLOOKUP(Table9283949525354[[#This Row],[Course]],COURSELIST[],3,FALSE),""))</f>
        <v/>
      </c>
      <c r="AJ24" s="3" t="str">
        <f>IF(Table9283949525354[[#This Row],[Course]]= "","",IFERROR(VLOOKUP(Table9283949525354[[#This Row],[Course]],COURSELIST[],4,FALSE),""))</f>
        <v/>
      </c>
      <c r="AK24" s="3"/>
      <c r="AL24" s="3" t="str">
        <f>IF(Table9283949525354[[#This Row],[Course]]= "","",IFERROR(VLOOKUP(Table9283949525354[[#This Row],[Course]],COURSELIST[],6,FALSE),""))</f>
        <v/>
      </c>
      <c r="AM24" s="3" t="str">
        <f>IF(Table9283949525354[[#This Row],[Course]]= "","",IFERROR(VLOOKUP(Table9283949525354[[#This Row],[Course]],COURSELIST[],7,FALSE),""))</f>
        <v/>
      </c>
      <c r="AN24" s="3" t="str">
        <f>IF(Table9283949525354[[#This Row],[Course]]= "","",IFERROR(VLOOKUP(Table9283949525354[[#This Row],[Course]],COURSELIST[],8,FALSE),""))</f>
        <v/>
      </c>
      <c r="AO24" s="3"/>
    </row>
    <row r="25" spans="1:41" ht="15.75" outlineLevel="1" thickBot="1">
      <c r="B25" s="146"/>
      <c r="C25" s="26"/>
      <c r="D25" s="3" t="str">
        <f>IF(Table52435[[#This Row],[Course]]= "","",IFERROR(VLOOKUP(Table52435[[#This Row],[Course]],COURSELIST[],2,FALSE),"Course Not Found!"))</f>
        <v/>
      </c>
      <c r="E25" s="3" t="str">
        <f>IF(Table52435[[#This Row],[Course]]= "","",IFERROR(VLOOKUP(Table52435[[#This Row],[Course]],COURSELIST[],3,FALSE),""))</f>
        <v/>
      </c>
      <c r="F25" s="3" t="str">
        <f>IF(Table52435[[#This Row],[Course]]= "","",IFERROR(VLOOKUP(Table52435[[#This Row],[Course]],COURSELIST[],4,FALSE),""))</f>
        <v/>
      </c>
      <c r="H25" s="3" t="str">
        <f>IF(Table52435[[#This Row],[Course]]= "","",IFERROR(VLOOKUP(Table52435[[#This Row],[Course]],COURSELIST[],6,FALSE),""))</f>
        <v/>
      </c>
      <c r="I25" s="3" t="str">
        <f>IF(Table52435[[#This Row],[Course]]= "","",IFERROR(VLOOKUP(Table52435[[#This Row],[Course]],COURSELIST[],7,FALSE),""))</f>
        <v/>
      </c>
      <c r="J25" s="3" t="str">
        <f>IF(Table52435[[#This Row],[Course]]= "","",IFERROR(VLOOKUP(Table52435[[#This Row],[Course]],COURSELIST[],8,FALSE),""))</f>
        <v/>
      </c>
      <c r="L25" s="146"/>
      <c r="M25" s="17"/>
      <c r="N25" s="5" t="str">
        <f>IF(Table123142[[#This Row],[Course]]= "","",IFERROR(VLOOKUP(Table123142[[#This Row],[Course]],COURSELIST[],2,FALSE),"Course Not Found!"))</f>
        <v/>
      </c>
      <c r="O25" s="5" t="str">
        <f>IF(Table123142[[#This Row],[Course]]= "","",IFERROR(VLOOKUP(Table123142[[#This Row],[Course]],COURSELIST[],3,FALSE),""))</f>
        <v/>
      </c>
      <c r="P25" s="5" t="str">
        <f>IF(Table123142[[#This Row],[Course]]= "","",IFERROR(VLOOKUP(Table123142[[#This Row],[Course]],COURSELIST[],4,FALSE),""))</f>
        <v/>
      </c>
      <c r="Q25" s="5"/>
      <c r="R25" s="5" t="str">
        <f>IF(Table123142[[#This Row],[Course]]= "","",IFERROR(VLOOKUP(Table123142[[#This Row],[Course]],COURSELIST[],6,FALSE),""))</f>
        <v/>
      </c>
      <c r="S25" s="5" t="str">
        <f>IF(Table123142[[#This Row],[Course]]= "","",IFERROR(VLOOKUP(Table123142[[#This Row],[Course]],COURSELIST[],7,FALSE),""))</f>
        <v/>
      </c>
      <c r="T25" s="3" t="str">
        <f>IF(Table123142[[#This Row],[Course]]= "","",IFERROR(VLOOKUP(Table123142[[#This Row],[Course]],COURSELIST[],8,FALSE),""))</f>
        <v/>
      </c>
      <c r="V25" s="146"/>
      <c r="W25" s="16"/>
      <c r="X25" s="3" t="str">
        <f>IF(Table72637[[#This Row],[Course]]= "","",IFERROR(VLOOKUP(Table72637[[#This Row],[Course]],COURSELIST[],2,FALSE),"Course Not Found!"))</f>
        <v/>
      </c>
      <c r="Y25" s="3" t="str">
        <f>IF(Table72637[[#This Row],[Course]]= "","",IFERROR(VLOOKUP(Table72637[[#This Row],[Course]],COURSELIST[],3,FALSE),""))</f>
        <v/>
      </c>
      <c r="Z25" s="3" t="str">
        <f>IF(Table72637[[#This Row],[Course]]= "","",IFERROR(VLOOKUP(Table72637[[#This Row],[Course]],COURSELIST[],4,FALSE),""))</f>
        <v/>
      </c>
      <c r="AB25" s="3" t="str">
        <f>IF(Table72637[[#This Row],[Course]]= "","",IFERROR(VLOOKUP(Table72637[[#This Row],[Course]],COURSELIST[],6,FALSE),""))</f>
        <v/>
      </c>
      <c r="AC25" s="3" t="str">
        <f>IF(Table72637[[#This Row],[Course]]= "","",IFERROR(VLOOKUP(Table72637[[#This Row],[Course]],COURSELIST[],7,FALSE),""))</f>
        <v/>
      </c>
      <c r="AD25" s="4" t="str">
        <f>IF(Table72637[[#This Row],[Course]]= "","",IFERROR(VLOOKUP(Table72637[[#This Row],[Course]],COURSELIST[],8,FALSE),""))</f>
        <v/>
      </c>
      <c r="AF25" s="146"/>
      <c r="AG25" s="28"/>
      <c r="AH25" s="3" t="str">
        <f>IF(Table9283949525354[[#This Row],[Course]]= "","",IFERROR(VLOOKUP(Table9283949525354[[#This Row],[Course]],COURSELIST[],2,FALSE),"Course Not Found!"))</f>
        <v/>
      </c>
      <c r="AI25" s="3" t="str">
        <f>IF(Table9283949525354[[#This Row],[Course]]= "","",IFERROR(VLOOKUP(Table9283949525354[[#This Row],[Course]],COURSELIST[],3,FALSE),""))</f>
        <v/>
      </c>
      <c r="AJ25" s="3" t="str">
        <f>IF(Table9283949525354[[#This Row],[Course]]= "","",IFERROR(VLOOKUP(Table9283949525354[[#This Row],[Course]],COURSELIST[],4,FALSE),""))</f>
        <v/>
      </c>
      <c r="AL25" s="3" t="str">
        <f>IF(Table9283949525354[[#This Row],[Course]]= "","",IFERROR(VLOOKUP(Table9283949525354[[#This Row],[Course]],COURSELIST[],6,FALSE),""))</f>
        <v/>
      </c>
      <c r="AM25" s="3" t="str">
        <f>IF(Table9283949525354[[#This Row],[Course]]= "","",IFERROR(VLOOKUP(Table9283949525354[[#This Row],[Course]],COURSELIST[],7,FALSE),""))</f>
        <v/>
      </c>
      <c r="AN25" s="3" t="str">
        <f>IF(Table9283949525354[[#This Row],[Course]]= "","",IFERROR(VLOOKUP(Table9283949525354[[#This Row],[Course]],COURSELIST[],8,FALSE),""))</f>
        <v/>
      </c>
    </row>
    <row r="26" spans="1:41" outlineLevel="1">
      <c r="E26" s="3" t="s">
        <v>10</v>
      </c>
      <c r="F26" s="3">
        <f>SUM(F19:F25)</f>
        <v>0</v>
      </c>
      <c r="I26" s="3" t="s">
        <v>27</v>
      </c>
      <c r="J26" s="3">
        <f>SUM(J19:J25)</f>
        <v>0</v>
      </c>
      <c r="M26" s="5"/>
      <c r="N26" s="5"/>
      <c r="O26" s="3" t="s">
        <v>10</v>
      </c>
      <c r="P26" s="3">
        <f>SUM(P19:P23)</f>
        <v>0</v>
      </c>
      <c r="S26" s="3" t="s">
        <v>27</v>
      </c>
      <c r="T26" s="3">
        <f>SUM(T19:T25)</f>
        <v>0</v>
      </c>
      <c r="Y26" s="3" t="s">
        <v>10</v>
      </c>
      <c r="Z26" s="3">
        <f>SUM(Z19:Z25)</f>
        <v>0</v>
      </c>
      <c r="AB26" s="5"/>
      <c r="AC26" s="3" t="s">
        <v>27</v>
      </c>
      <c r="AD26" s="3">
        <f>SUM(AD19:AD25)</f>
        <v>0</v>
      </c>
      <c r="AI26" s="3" t="s">
        <v>10</v>
      </c>
      <c r="AJ26" s="3">
        <f>SUM(AJ19:AJ25)</f>
        <v>0</v>
      </c>
      <c r="AM26" s="3" t="s">
        <v>27</v>
      </c>
      <c r="AN26" s="3">
        <f>SUM(AN19:AN25)</f>
        <v>0</v>
      </c>
    </row>
    <row r="27" spans="1:41" outlineLevel="1">
      <c r="E27" s="3" t="s">
        <v>18</v>
      </c>
      <c r="F27" s="3">
        <f>F26+Z12</f>
        <v>0</v>
      </c>
      <c r="I27" s="3" t="s">
        <v>17</v>
      </c>
      <c r="J27" s="3">
        <f>J26+AD12</f>
        <v>0</v>
      </c>
      <c r="L27" s="5"/>
      <c r="O27" s="3" t="s">
        <v>18</v>
      </c>
      <c r="P27" s="3">
        <f>P26+F27</f>
        <v>0</v>
      </c>
      <c r="S27" s="3" t="s">
        <v>17</v>
      </c>
      <c r="T27" s="3">
        <f>T26+J27</f>
        <v>0</v>
      </c>
      <c r="U27" s="5"/>
      <c r="V27" s="5"/>
      <c r="Y27" s="3" t="s">
        <v>18</v>
      </c>
      <c r="Z27" s="3">
        <f>Z26+P27</f>
        <v>0</v>
      </c>
      <c r="AC27" s="3" t="s">
        <v>17</v>
      </c>
      <c r="AD27" s="3">
        <f>AD26+T27</f>
        <v>0</v>
      </c>
      <c r="AI27" s="3" t="s">
        <v>18</v>
      </c>
      <c r="AJ27" s="3">
        <f>AJ26+Z27</f>
        <v>0</v>
      </c>
      <c r="AM27" s="3" t="s">
        <v>17</v>
      </c>
      <c r="AN27" s="3">
        <f>AN26+AD27</f>
        <v>0</v>
      </c>
    </row>
    <row r="28" spans="1:41" outlineLevel="1">
      <c r="E28" s="5" t="s">
        <v>19</v>
      </c>
      <c r="F28" s="5">
        <f>F26+Z13</f>
        <v>0</v>
      </c>
      <c r="G28" s="5"/>
      <c r="I28" s="3" t="s">
        <v>46</v>
      </c>
      <c r="J28" s="3" t="e">
        <f>J26/F26</f>
        <v>#DIV/0!</v>
      </c>
      <c r="O28" s="5" t="s">
        <v>19</v>
      </c>
      <c r="P28" s="5">
        <f>P26+F28</f>
        <v>0</v>
      </c>
      <c r="Q28" s="5"/>
      <c r="S28" s="3" t="s">
        <v>14</v>
      </c>
      <c r="T28" s="3" t="e">
        <f>T26/P26</f>
        <v>#DIV/0!</v>
      </c>
      <c r="W28" s="5"/>
      <c r="X28" s="5"/>
      <c r="Y28" s="5" t="s">
        <v>19</v>
      </c>
      <c r="Z28" s="5">
        <f>Z26+P28</f>
        <v>0</v>
      </c>
      <c r="AA28" s="5"/>
      <c r="AC28" s="3" t="s">
        <v>14</v>
      </c>
      <c r="AD28" s="3" t="e">
        <f>AD26/Z26</f>
        <v>#DIV/0!</v>
      </c>
      <c r="AG28" s="5"/>
      <c r="AH28" s="5"/>
      <c r="AI28" s="5" t="s">
        <v>19</v>
      </c>
      <c r="AJ28" s="5">
        <f>AJ26+Z28</f>
        <v>0</v>
      </c>
      <c r="AK28" s="5"/>
      <c r="AM28" s="3" t="s">
        <v>14</v>
      </c>
      <c r="AN28" s="3" t="e">
        <f>AN26/AJ26</f>
        <v>#DIV/0!</v>
      </c>
    </row>
    <row r="29" spans="1:41" s="23" customFormat="1" ht="21.75" outlineLevel="1" thickBot="1">
      <c r="C29" s="3"/>
      <c r="D29" s="3"/>
      <c r="E29" s="3"/>
      <c r="F29" s="3"/>
      <c r="G29" s="3"/>
      <c r="I29" s="5" t="s">
        <v>16</v>
      </c>
      <c r="J29" s="5" t="e">
        <f>J27/F28</f>
        <v>#DIV/0!</v>
      </c>
      <c r="M29" s="5"/>
      <c r="N29" s="5"/>
      <c r="O29" s="3"/>
      <c r="P29" s="3"/>
      <c r="Q29" s="3"/>
      <c r="R29" s="3"/>
      <c r="S29" s="5" t="s">
        <v>16</v>
      </c>
      <c r="T29" s="5" t="e">
        <f>T27/P28</f>
        <v>#DIV/0!</v>
      </c>
      <c r="W29" s="3"/>
      <c r="X29" s="3"/>
      <c r="Y29" s="3"/>
      <c r="Z29" s="3"/>
      <c r="AA29" s="3"/>
      <c r="AB29" s="3"/>
      <c r="AC29" s="5" t="s">
        <v>16</v>
      </c>
      <c r="AD29" s="5" t="e">
        <f>AD27/Z28</f>
        <v>#DIV/0!</v>
      </c>
      <c r="AG29" s="3"/>
      <c r="AH29" s="3"/>
      <c r="AI29" s="3"/>
      <c r="AJ29" s="3"/>
      <c r="AK29" s="3"/>
      <c r="AL29" s="3"/>
      <c r="AM29" s="5" t="s">
        <v>16</v>
      </c>
      <c r="AN29" s="5" t="e">
        <f>AN27/AJ28</f>
        <v>#DIV/0!</v>
      </c>
    </row>
    <row r="30" spans="1:41" ht="21.75" thickBot="1">
      <c r="A30" s="94" t="s">
        <v>90</v>
      </c>
      <c r="D30" s="38"/>
      <c r="J30" s="23"/>
    </row>
    <row r="31" spans="1:41" ht="23.25" customHeight="1" outlineLevel="1" thickBot="1">
      <c r="B31" s="146" t="s">
        <v>118</v>
      </c>
      <c r="C31" s="140" t="s">
        <v>103</v>
      </c>
      <c r="D31" s="141"/>
      <c r="E31" s="142"/>
      <c r="F31" s="148" t="str">
        <f>GradeStatus(AJ27)&amp;"--"&amp;AJ27&amp;" Credits "&amp;F41&amp;" In Progress"</f>
        <v>Freshmen--0 Credits 0 In Progress</v>
      </c>
      <c r="G31" s="149"/>
      <c r="H31" s="149"/>
      <c r="I31" s="149"/>
      <c r="J31" s="149"/>
      <c r="L31" s="146" t="s">
        <v>94</v>
      </c>
      <c r="M31" s="143" t="s">
        <v>21</v>
      </c>
      <c r="N31" s="144"/>
      <c r="O31" s="145"/>
      <c r="P31" s="150" t="str">
        <f>GradeStatus(F41)&amp;"--"&amp;F41&amp;" Credits "&amp;P41&amp;" In Progress"</f>
        <v>Freshmen--0 Credits 0 In Progress</v>
      </c>
      <c r="Q31" s="151"/>
      <c r="R31" s="151"/>
      <c r="S31" s="151"/>
      <c r="T31" s="151"/>
      <c r="V31" s="146" t="s">
        <v>95</v>
      </c>
      <c r="W31" s="152" t="s">
        <v>6</v>
      </c>
      <c r="X31" s="153"/>
      <c r="Y31" s="154"/>
      <c r="Z31" s="160" t="str">
        <f>GradeStatus(P41)&amp;"--"&amp;P41&amp;" Credits "&amp;Z41&amp;" In Progress"</f>
        <v>Freshmen--0 Credits 0 In Progress</v>
      </c>
      <c r="AA31" s="161"/>
      <c r="AB31" s="161"/>
      <c r="AC31" s="161"/>
      <c r="AD31" s="161"/>
      <c r="AF31" s="146" t="s">
        <v>96</v>
      </c>
      <c r="AG31" s="155" t="s">
        <v>57</v>
      </c>
      <c r="AH31" s="156"/>
      <c r="AI31" s="157"/>
      <c r="AJ31" s="158" t="str">
        <f>GradeStatus(Z41)&amp;"--"&amp;Z41&amp;" Credits "&amp;AJ41&amp;" In Progress"</f>
        <v>Freshmen--0 Credits 0 In Progress</v>
      </c>
      <c r="AK31" s="159"/>
      <c r="AL31" s="159"/>
      <c r="AM31" s="159"/>
      <c r="AN31" s="159"/>
    </row>
    <row r="32" spans="1:41" ht="15.75" outlineLevel="1" thickBot="1">
      <c r="B32" s="146"/>
      <c r="C32" s="3" t="s">
        <v>20</v>
      </c>
      <c r="D32" s="3" t="s">
        <v>24</v>
      </c>
      <c r="E32" s="3" t="s">
        <v>25</v>
      </c>
      <c r="F32" s="3" t="s">
        <v>10</v>
      </c>
      <c r="G32" s="3" t="s">
        <v>26</v>
      </c>
      <c r="H32" s="3" t="s">
        <v>12</v>
      </c>
      <c r="I32" s="3" t="s">
        <v>36</v>
      </c>
      <c r="J32" s="3" t="s">
        <v>28</v>
      </c>
      <c r="L32" s="146"/>
      <c r="M32" s="3" t="s">
        <v>20</v>
      </c>
      <c r="N32" s="3" t="s">
        <v>24</v>
      </c>
      <c r="O32" s="3" t="s">
        <v>25</v>
      </c>
      <c r="P32" s="3" t="s">
        <v>10</v>
      </c>
      <c r="Q32" s="3" t="s">
        <v>26</v>
      </c>
      <c r="R32" s="3" t="s">
        <v>12</v>
      </c>
      <c r="S32" s="3" t="s">
        <v>36</v>
      </c>
      <c r="T32" s="1" t="s">
        <v>28</v>
      </c>
      <c r="V32" s="146"/>
      <c r="W32" s="3" t="s">
        <v>20</v>
      </c>
      <c r="X32" s="3" t="s">
        <v>24</v>
      </c>
      <c r="Y32" s="3" t="s">
        <v>25</v>
      </c>
      <c r="Z32" s="3" t="s">
        <v>10</v>
      </c>
      <c r="AA32" s="3" t="s">
        <v>26</v>
      </c>
      <c r="AB32" s="3" t="s">
        <v>12</v>
      </c>
      <c r="AC32" s="3" t="s">
        <v>36</v>
      </c>
      <c r="AD32" s="3" t="s">
        <v>28</v>
      </c>
      <c r="AF32" s="146"/>
      <c r="AG32" s="1" t="s">
        <v>20</v>
      </c>
      <c r="AH32" s="3" t="s">
        <v>24</v>
      </c>
      <c r="AI32" s="3" t="s">
        <v>25</v>
      </c>
      <c r="AJ32" s="3" t="s">
        <v>10</v>
      </c>
      <c r="AK32" s="3" t="s">
        <v>26</v>
      </c>
      <c r="AL32" s="3" t="s">
        <v>12</v>
      </c>
      <c r="AM32" s="3" t="s">
        <v>36</v>
      </c>
      <c r="AN32" s="3" t="s">
        <v>28</v>
      </c>
    </row>
    <row r="33" spans="1:40" s="5" customFormat="1" ht="15.75" outlineLevel="1" thickBot="1">
      <c r="B33" s="146"/>
      <c r="C33" s="25"/>
      <c r="D33" s="3" t="str">
        <f>IF(Table42334[[#This Row],[Course]]= "","",IFERROR(VLOOKUP(Table42334[[#This Row],[Course]],COURSELIST[],2,FALSE),"Course Not Found!"))</f>
        <v/>
      </c>
      <c r="E33" s="3" t="str">
        <f>IF(Table42334[[#This Row],[Course]]= "","",IFERROR(VLOOKUP(Table42334[[#This Row],[Course]],COURSELIST[],3,FALSE),""))</f>
        <v/>
      </c>
      <c r="F33" s="3" t="str">
        <f>IF(Table42334[[#This Row],[Course]]= "","",IFERROR(VLOOKUP(Table42334[[#This Row],[Course]],COURSELIST[],4,FALSE),""))</f>
        <v/>
      </c>
      <c r="G33" s="3"/>
      <c r="H33" s="3" t="str">
        <f>IF(Table42334[[#This Row],[Course]]= "","",IFERROR(VLOOKUP(Table42334[[#This Row],[Course]],COURSELIST[],6,FALSE),""))</f>
        <v/>
      </c>
      <c r="I33" s="3" t="str">
        <f>IF(Table42334[[#This Row],[Course]]= "","",IFERROR(VLOOKUP(Table42334[[#This Row],[Course]],COURSELIST[],7,FALSE),""))</f>
        <v/>
      </c>
      <c r="J33" s="3" t="str">
        <f>IF(Table42334[[#This Row],[Course]]= "","",IFERROR(VLOOKUP(Table42334[[#This Row],[Course]],COURSELIST[],8,FALSE),""))</f>
        <v/>
      </c>
      <c r="K33" s="3"/>
      <c r="L33" s="146"/>
      <c r="M33" s="17"/>
      <c r="N33" s="3" t="str">
        <f>IF(Table133243[[#This Row],[Course]]= "","",IFERROR(VLOOKUP(Table133243[[#This Row],[Course]],COURSELIST[],2,FALSE),"Course Not Found!"))</f>
        <v/>
      </c>
      <c r="O33" s="3" t="str">
        <f>IF(Table133243[[#This Row],[Course]]= "","",IFERROR(VLOOKUP(Table133243[[#This Row],[Course]],COURSELIST[],3,FALSE),""))</f>
        <v/>
      </c>
      <c r="P33" s="3" t="str">
        <f>IF(Table133243[[#This Row],[Course]]= "","",IFERROR(VLOOKUP(Table133243[[#This Row],[Course]],COURSELIST[],4,FALSE),""))</f>
        <v/>
      </c>
      <c r="Q33" s="3"/>
      <c r="R33" s="3" t="str">
        <f>IF(Table133243[[#This Row],[Course]]= "","",IFERROR(VLOOKUP(Table133243[[#This Row],[Course]],COURSELIST[],6,FALSE),""))</f>
        <v/>
      </c>
      <c r="S33" s="3" t="str">
        <f>IF(Table133243[[#This Row],[Course]]= "","",IFERROR(VLOOKUP(Table133243[[#This Row],[Course]],COURSELIST[],7,FALSE),""))</f>
        <v/>
      </c>
      <c r="T33" s="3" t="str">
        <f>IF(Table133243[[#This Row],[Course]]= "","",IFERROR(VLOOKUP(Table133243[[#This Row],[Course]],COURSELIST[],8,FALSE),""))</f>
        <v/>
      </c>
      <c r="U33" s="3"/>
      <c r="V33" s="146"/>
      <c r="W33" s="25"/>
      <c r="X33" s="3" t="str">
        <f>IF(Table82738[[#This Row],[Course]]= "","",IFERROR(VLOOKUP(Table82738[[#This Row],[Course]],COURSELIST[],2,FALSE),"Course Not Found!"))</f>
        <v/>
      </c>
      <c r="Y33" s="3" t="str">
        <f>IF(Table82738[[#This Row],[Course]]= "","",IFERROR(VLOOKUP(Table82738[[#This Row],[Course]],COURSELIST[],3,FALSE),""))</f>
        <v/>
      </c>
      <c r="Z33" s="3" t="str">
        <f>IF(Table82738[[#This Row],[Course]]= "","",IFERROR(VLOOKUP(Table82738[[#This Row],[Course]],COURSELIST[],4,FALSE),""))</f>
        <v/>
      </c>
      <c r="AA33" s="3"/>
      <c r="AB33" s="3" t="str">
        <f>IF(Table82738[[#This Row],[Course]]= "","",IFERROR(VLOOKUP(Table82738[[#This Row],[Course]],COURSELIST[],6,FALSE),""))</f>
        <v/>
      </c>
      <c r="AC33" s="3" t="str">
        <f>IF(Table82738[[#This Row],[Course]]= "","",IFERROR(VLOOKUP(Table82738[[#This Row],[Course]],COURSELIST[],7,FALSE),""))</f>
        <v/>
      </c>
      <c r="AD33" s="3" t="str">
        <f>IF(Table82738[[#This Row],[Course]]= "","",IFERROR(VLOOKUP(Table82738[[#This Row],[Course]],COURSELIST[],8,FALSE),""))</f>
        <v/>
      </c>
      <c r="AF33" s="146"/>
      <c r="AG33" s="25"/>
      <c r="AH33" s="3" t="str">
        <f>IF(Table92839495253[[#This Row],[Course]]= "","",IFERROR(VLOOKUP(Table92839495253[[#This Row],[Course]],COURSELIST[],2,FALSE),"Course Not Found!"))</f>
        <v/>
      </c>
      <c r="AI33" s="3" t="str">
        <f>IF(Table92839495253[[#This Row],[Course]]= "","",IFERROR(VLOOKUP(Table92839495253[[#This Row],[Course]],COURSELIST[],3,FALSE),""))</f>
        <v/>
      </c>
      <c r="AJ33" s="3" t="str">
        <f>IF(Table92839495253[[#This Row],[Course]]= "","",IFERROR(VLOOKUP(Table92839495253[[#This Row],[Course]],COURSELIST[],4,FALSE),""))</f>
        <v/>
      </c>
      <c r="AK33" s="3"/>
      <c r="AL33" s="3" t="str">
        <f>IF(Table92839495253[[#This Row],[Course]]= "","",IFERROR(VLOOKUP(Table92839495253[[#This Row],[Course]],COURSELIST[],6,FALSE),""))</f>
        <v/>
      </c>
      <c r="AM33" s="3" t="str">
        <f>IF(Table92839495253[[#This Row],[Course]]= "","",IFERROR(VLOOKUP(Table92839495253[[#This Row],[Course]],COURSELIST[],7,FALSE),""))</f>
        <v/>
      </c>
      <c r="AN33" s="3" t="str">
        <f>IF(Table92839495253[[#This Row],[Course]]= "","",IFERROR(VLOOKUP(Table92839495253[[#This Row],[Course]],COURSELIST[],8,FALSE),""))</f>
        <v/>
      </c>
    </row>
    <row r="34" spans="1:40" s="5" customFormat="1" ht="15.75" outlineLevel="1" thickBot="1">
      <c r="B34" s="146"/>
      <c r="C34" s="25"/>
      <c r="D34" s="3" t="str">
        <f>IF(Table42334[[#This Row],[Course]]= "","",IFERROR(VLOOKUP(Table42334[[#This Row],[Course]],COURSELIST[],2,FALSE),"Course Not Found!"))</f>
        <v/>
      </c>
      <c r="E34" s="3" t="str">
        <f>IF(Table42334[[#This Row],[Course]]= "","",IFERROR(VLOOKUP(Table42334[[#This Row],[Course]],COURSELIST[],3,FALSE),""))</f>
        <v/>
      </c>
      <c r="F34" s="3" t="str">
        <f>IF(Table42334[[#This Row],[Course]]= "","",IFERROR(VLOOKUP(Table42334[[#This Row],[Course]],COURSELIST[],4,FALSE),""))</f>
        <v/>
      </c>
      <c r="G34" s="3"/>
      <c r="H34" s="3" t="str">
        <f>IF(Table42334[[#This Row],[Course]]= "","",IFERROR(VLOOKUP(Table42334[[#This Row],[Course]],COURSELIST[],6,FALSE),""))</f>
        <v/>
      </c>
      <c r="I34" s="3" t="str">
        <f>IF(Table42334[[#This Row],[Course]]= "","",IFERROR(VLOOKUP(Table42334[[#This Row],[Course]],COURSELIST[],7,FALSE),""))</f>
        <v/>
      </c>
      <c r="J34" s="3" t="str">
        <f>IF(Table42334[[#This Row],[Course]]= "","",IFERROR(VLOOKUP(Table42334[[#This Row],[Course]],COURSELIST[],8,FALSE),""))</f>
        <v/>
      </c>
      <c r="K34" s="3"/>
      <c r="L34" s="146"/>
      <c r="M34" s="16"/>
      <c r="N34" s="3" t="str">
        <f>IF(Table133243[[#This Row],[Course]]= "","",IFERROR(VLOOKUP(Table133243[[#This Row],[Course]],COURSELIST[],2,FALSE),"Course Not Found!"))</f>
        <v/>
      </c>
      <c r="O34" s="3" t="str">
        <f>IF(Table133243[[#This Row],[Course]]= "","",IFERROR(VLOOKUP(Table133243[[#This Row],[Course]],COURSELIST[],3,FALSE),""))</f>
        <v/>
      </c>
      <c r="P34" s="3" t="str">
        <f>IF(Table133243[[#This Row],[Course]]= "","",IFERROR(VLOOKUP(Table133243[[#This Row],[Course]],COURSELIST[],4,FALSE),""))</f>
        <v/>
      </c>
      <c r="Q34" s="3"/>
      <c r="R34" s="3" t="str">
        <f>IF(Table133243[[#This Row],[Course]]= "","",IFERROR(VLOOKUP(Table133243[[#This Row],[Course]],COURSELIST[],6,FALSE),""))</f>
        <v/>
      </c>
      <c r="S34" s="3" t="str">
        <f>IF(Table133243[[#This Row],[Course]]= "","",IFERROR(VLOOKUP(Table133243[[#This Row],[Course]],COURSELIST[],7,FALSE),""))</f>
        <v/>
      </c>
      <c r="T34" s="3" t="str">
        <f>IF(Table133243[[#This Row],[Course]]= "","",IFERROR(VLOOKUP(Table133243[[#This Row],[Course]],COURSELIST[],8,FALSE),""))</f>
        <v/>
      </c>
      <c r="U34" s="3"/>
      <c r="V34" s="146"/>
      <c r="W34" s="25"/>
      <c r="X34" s="3" t="str">
        <f>IF(Table82738[[#This Row],[Course]]= "","",IFERROR(VLOOKUP(Table82738[[#This Row],[Course]],COURSELIST[],2,FALSE),"Course Not Found!"))</f>
        <v/>
      </c>
      <c r="Y34" s="3" t="str">
        <f>IF(Table82738[[#This Row],[Course]]= "","",IFERROR(VLOOKUP(Table82738[[#This Row],[Course]],COURSELIST[],3,FALSE),""))</f>
        <v/>
      </c>
      <c r="Z34" s="3" t="str">
        <f>IF(Table82738[[#This Row],[Course]]= "","",IFERROR(VLOOKUP(Table82738[[#This Row],[Course]],COURSELIST[],4,FALSE),""))</f>
        <v/>
      </c>
      <c r="AA34" s="3"/>
      <c r="AB34" s="3" t="str">
        <f>IF(Table82738[[#This Row],[Course]]= "","",IFERROR(VLOOKUP(Table82738[[#This Row],[Course]],COURSELIST[],6,FALSE),""))</f>
        <v/>
      </c>
      <c r="AC34" s="3" t="str">
        <f>IF(Table82738[[#This Row],[Course]]= "","",IFERROR(VLOOKUP(Table82738[[#This Row],[Course]],COURSELIST[],7,FALSE),""))</f>
        <v/>
      </c>
      <c r="AD34" s="3" t="str">
        <f>IF(Table82738[[#This Row],[Course]]= "","",IFERROR(VLOOKUP(Table82738[[#This Row],[Course]],COURSELIST[],8,FALSE),""))</f>
        <v/>
      </c>
      <c r="AF34" s="146"/>
      <c r="AG34" s="25"/>
      <c r="AH34" s="3" t="str">
        <f>IF(Table92839495253[[#This Row],[Course]]= "","",IFERROR(VLOOKUP(Table92839495253[[#This Row],[Course]],COURSELIST[],2,FALSE),"Course Not Found!"))</f>
        <v/>
      </c>
      <c r="AI34" s="3" t="str">
        <f>IF(Table92839495253[[#This Row],[Course]]= "","",IFERROR(VLOOKUP(Table92839495253[[#This Row],[Course]],COURSELIST[],3,FALSE),""))</f>
        <v/>
      </c>
      <c r="AJ34" s="3" t="str">
        <f>IF(Table92839495253[[#This Row],[Course]]= "","",IFERROR(VLOOKUP(Table92839495253[[#This Row],[Course]],COURSELIST[],4,FALSE),""))</f>
        <v/>
      </c>
      <c r="AK34" s="3"/>
      <c r="AL34" s="3" t="str">
        <f>IF(Table92839495253[[#This Row],[Course]]= "","",IFERROR(VLOOKUP(Table92839495253[[#This Row],[Course]],COURSELIST[],6,FALSE),""))</f>
        <v/>
      </c>
      <c r="AM34" s="3" t="str">
        <f>IF(Table92839495253[[#This Row],[Course]]= "","",IFERROR(VLOOKUP(Table92839495253[[#This Row],[Course]],COURSELIST[],7,FALSE),""))</f>
        <v/>
      </c>
      <c r="AN34" s="3" t="str">
        <f>IF(Table92839495253[[#This Row],[Course]]= "","",IFERROR(VLOOKUP(Table92839495253[[#This Row],[Course]],COURSELIST[],8,FALSE),""))</f>
        <v/>
      </c>
    </row>
    <row r="35" spans="1:40" s="5" customFormat="1" ht="15.75" outlineLevel="1" thickBot="1">
      <c r="B35" s="146"/>
      <c r="C35" s="17"/>
      <c r="D35" s="3" t="str">
        <f>IF(Table42334[[#This Row],[Course]]= "","",IFERROR(VLOOKUP(Table42334[[#This Row],[Course]],COURSELIST[],2,FALSE),"Course Not Found!"))</f>
        <v/>
      </c>
      <c r="E35" s="3" t="str">
        <f>IF(Table42334[[#This Row],[Course]]= "","",IFERROR(VLOOKUP(Table42334[[#This Row],[Course]],COURSELIST[],3,FALSE),""))</f>
        <v/>
      </c>
      <c r="F35" s="3" t="str">
        <f>IF(Table42334[[#This Row],[Course]]= "","",IFERROR(VLOOKUP(Table42334[[#This Row],[Course]],COURSELIST[],4,FALSE),""))</f>
        <v/>
      </c>
      <c r="G35" s="3"/>
      <c r="H35" s="3" t="str">
        <f>IF(Table42334[[#This Row],[Course]]= "","",IFERROR(VLOOKUP(Table42334[[#This Row],[Course]],COURSELIST[],6,FALSE),""))</f>
        <v/>
      </c>
      <c r="I35" s="3" t="str">
        <f>IF(Table42334[[#This Row],[Course]]= "","",IFERROR(VLOOKUP(Table42334[[#This Row],[Course]],COURSELIST[],7,FALSE),""))</f>
        <v/>
      </c>
      <c r="J35" s="3" t="str">
        <f>IF(Table42334[[#This Row],[Course]]= "","",IFERROR(VLOOKUP(Table42334[[#This Row],[Course]],COURSELIST[],8,FALSE),""))</f>
        <v/>
      </c>
      <c r="K35" s="3"/>
      <c r="L35" s="146"/>
      <c r="M35" s="16"/>
      <c r="N35" s="3" t="str">
        <f>IF(Table133243[[#This Row],[Course]]= "","",IFERROR(VLOOKUP(Table133243[[#This Row],[Course]],COURSELIST[],2,FALSE),"Course Not Found!"))</f>
        <v/>
      </c>
      <c r="O35" s="3" t="str">
        <f>IF(Table133243[[#This Row],[Course]]= "","",IFERROR(VLOOKUP(Table133243[[#This Row],[Course]],COURSELIST[],3,FALSE),""))</f>
        <v/>
      </c>
      <c r="P35" s="3" t="str">
        <f>IF(Table133243[[#This Row],[Course]]= "","",IFERROR(VLOOKUP(Table133243[[#This Row],[Course]],COURSELIST[],4,FALSE),""))</f>
        <v/>
      </c>
      <c r="Q35" s="3"/>
      <c r="R35" s="3" t="str">
        <f>IF(Table133243[[#This Row],[Course]]= "","",IFERROR(VLOOKUP(Table133243[[#This Row],[Course]],COURSELIST[],6,FALSE),""))</f>
        <v/>
      </c>
      <c r="S35" s="3" t="str">
        <f>IF(Table133243[[#This Row],[Course]]= "","",IFERROR(VLOOKUP(Table133243[[#This Row],[Course]],COURSELIST[],7,FALSE),""))</f>
        <v/>
      </c>
      <c r="T35" s="3" t="str">
        <f>IF(Table133243[[#This Row],[Course]]= "","",IFERROR(VLOOKUP(Table133243[[#This Row],[Course]],COURSELIST[],8,FALSE),""))</f>
        <v/>
      </c>
      <c r="U35" s="3"/>
      <c r="V35" s="146"/>
      <c r="W35" s="16"/>
      <c r="X35" s="3" t="str">
        <f>IF(Table82738[[#This Row],[Course]]= "","",IFERROR(VLOOKUP(Table82738[[#This Row],[Course]],COURSELIST[],2,FALSE),"Course Not Found!"))</f>
        <v/>
      </c>
      <c r="Y35" s="3" t="str">
        <f>IF(Table82738[[#This Row],[Course]]= "","",IFERROR(VLOOKUP(Table82738[[#This Row],[Course]],COURSELIST[],3,FALSE),""))</f>
        <v/>
      </c>
      <c r="Z35" s="3" t="str">
        <f>IF(Table82738[[#This Row],[Course]]= "","",IFERROR(VLOOKUP(Table82738[[#This Row],[Course]],COURSELIST[],4,FALSE),""))</f>
        <v/>
      </c>
      <c r="AA35" s="3"/>
      <c r="AB35" s="3" t="str">
        <f>IF(Table82738[[#This Row],[Course]]= "","",IFERROR(VLOOKUP(Table82738[[#This Row],[Course]],COURSELIST[],6,FALSE),""))</f>
        <v/>
      </c>
      <c r="AC35" s="3" t="str">
        <f>IF(Table82738[[#This Row],[Course]]= "","",IFERROR(VLOOKUP(Table82738[[#This Row],[Course]],COURSELIST[],7,FALSE),""))</f>
        <v/>
      </c>
      <c r="AD35" s="3" t="str">
        <f>IF(Table82738[[#This Row],[Course]]= "","",IFERROR(VLOOKUP(Table82738[[#This Row],[Course]],COURSELIST[],8,FALSE),""))</f>
        <v/>
      </c>
      <c r="AF35" s="146"/>
      <c r="AG35" s="16"/>
      <c r="AH35" s="3" t="str">
        <f>IF(Table92839495253[[#This Row],[Course]]= "","",IFERROR(VLOOKUP(Table92839495253[[#This Row],[Course]],COURSELIST[],2,FALSE),"Course Not Found!"))</f>
        <v/>
      </c>
      <c r="AI35" s="3" t="str">
        <f>IF(Table92839495253[[#This Row],[Course]]= "","",IFERROR(VLOOKUP(Table92839495253[[#This Row],[Course]],COURSELIST[],3,FALSE),""))</f>
        <v/>
      </c>
      <c r="AJ35" s="3" t="str">
        <f>IF(Table92839495253[[#This Row],[Course]]= "","",IFERROR(VLOOKUP(Table92839495253[[#This Row],[Course]],COURSELIST[],4,FALSE),""))</f>
        <v/>
      </c>
      <c r="AK35" s="3"/>
      <c r="AL35" s="3" t="str">
        <f>IF(Table92839495253[[#This Row],[Course]]= "","",IFERROR(VLOOKUP(Table92839495253[[#This Row],[Course]],COURSELIST[],6,FALSE),""))</f>
        <v/>
      </c>
      <c r="AM35" s="3" t="str">
        <f>IF(Table92839495253[[#This Row],[Course]]= "","",IFERROR(VLOOKUP(Table92839495253[[#This Row],[Course]],COURSELIST[],7,FALSE),""))</f>
        <v/>
      </c>
      <c r="AN35" s="3" t="str">
        <f>IF(Table92839495253[[#This Row],[Course]]= "","",IFERROR(VLOOKUP(Table92839495253[[#This Row],[Course]],COURSELIST[],8,FALSE),""))</f>
        <v/>
      </c>
    </row>
    <row r="36" spans="1:40" s="5" customFormat="1" ht="15.75" outlineLevel="1" thickBot="1">
      <c r="B36" s="146"/>
      <c r="C36" s="17"/>
      <c r="D36" s="3" t="str">
        <f>IF(Table42334[[#This Row],[Course]]= "","",IFERROR(VLOOKUP(Table42334[[#This Row],[Course]],COURSELIST[],2,FALSE),"Course Not Found!"))</f>
        <v/>
      </c>
      <c r="E36" s="3" t="str">
        <f>IF(Table42334[[#This Row],[Course]]= "","",IFERROR(VLOOKUP(Table42334[[#This Row],[Course]],COURSELIST[],3,FALSE),""))</f>
        <v/>
      </c>
      <c r="F36" s="3" t="str">
        <f>IF(Table42334[[#This Row],[Course]]= "","",IFERROR(VLOOKUP(Table42334[[#This Row],[Course]],COURSELIST[],4,FALSE),""))</f>
        <v/>
      </c>
      <c r="G36" s="3"/>
      <c r="H36" s="3" t="str">
        <f>IF(Table42334[[#This Row],[Course]]= "","",IFERROR(VLOOKUP(Table42334[[#This Row],[Course]],COURSELIST[],6,FALSE),""))</f>
        <v/>
      </c>
      <c r="I36" s="3" t="str">
        <f>IF(Table42334[[#This Row],[Course]]= "","",IFERROR(VLOOKUP(Table42334[[#This Row],[Course]],COURSELIST[],7,FALSE),""))</f>
        <v/>
      </c>
      <c r="J36" s="3" t="str">
        <f>IF(Table42334[[#This Row],[Course]]= "","",IFERROR(VLOOKUP(Table42334[[#This Row],[Course]],COURSELIST[],8,FALSE),""))</f>
        <v/>
      </c>
      <c r="K36" s="3"/>
      <c r="L36" s="146"/>
      <c r="M36" s="16"/>
      <c r="N36" s="3" t="str">
        <f>IF(Table133243[[#This Row],[Course]]= "","",IFERROR(VLOOKUP(Table133243[[#This Row],[Course]],COURSELIST[],2,FALSE),"Course Not Found!"))</f>
        <v/>
      </c>
      <c r="O36" s="3" t="str">
        <f>IF(Table133243[[#This Row],[Course]]= "","",IFERROR(VLOOKUP(Table133243[[#This Row],[Course]],COURSELIST[],3,FALSE),""))</f>
        <v/>
      </c>
      <c r="P36" s="3" t="str">
        <f>IF(Table133243[[#This Row],[Course]]= "","",IFERROR(VLOOKUP(Table133243[[#This Row],[Course]],COURSELIST[],4,FALSE),""))</f>
        <v/>
      </c>
      <c r="Q36" s="3"/>
      <c r="R36" s="3" t="str">
        <f>IF(Table133243[[#This Row],[Course]]= "","",IFERROR(VLOOKUP(Table133243[[#This Row],[Course]],COURSELIST[],6,FALSE),""))</f>
        <v/>
      </c>
      <c r="S36" s="3" t="str">
        <f>IF(Table133243[[#This Row],[Course]]= "","",IFERROR(VLOOKUP(Table133243[[#This Row],[Course]],COURSELIST[],7,FALSE),""))</f>
        <v/>
      </c>
      <c r="T36" s="3" t="str">
        <f>IF(Table133243[[#This Row],[Course]]= "","",IFERROR(VLOOKUP(Table133243[[#This Row],[Course]],COURSELIST[],8,FALSE),""))</f>
        <v/>
      </c>
      <c r="V36" s="146"/>
      <c r="W36" s="25"/>
      <c r="X36" s="3" t="str">
        <f>IF(Table82738[[#This Row],[Course]]= "","",IFERROR(VLOOKUP(Table82738[[#This Row],[Course]],COURSELIST[],2,FALSE),"Course Not Found!"))</f>
        <v/>
      </c>
      <c r="Y36" s="3" t="str">
        <f>IF(Table82738[[#This Row],[Course]]= "","",IFERROR(VLOOKUP(Table82738[[#This Row],[Course]],COURSELIST[],3,FALSE),""))</f>
        <v/>
      </c>
      <c r="Z36" s="3" t="str">
        <f>IF(Table82738[[#This Row],[Course]]= "","",IFERROR(VLOOKUP(Table82738[[#This Row],[Course]],COURSELIST[],4,FALSE),""))</f>
        <v/>
      </c>
      <c r="AA36" s="3"/>
      <c r="AB36" s="3" t="str">
        <f>IF(Table82738[[#This Row],[Course]]= "","",IFERROR(VLOOKUP(Table82738[[#This Row],[Course]],COURSELIST[],6,FALSE),""))</f>
        <v/>
      </c>
      <c r="AC36" s="3" t="str">
        <f>IF(Table82738[[#This Row],[Course]]= "","",IFERROR(VLOOKUP(Table82738[[#This Row],[Course]],COURSELIST[],7,FALSE),""))</f>
        <v/>
      </c>
      <c r="AD36" s="3" t="str">
        <f>IF(Table82738[[#This Row],[Course]]= "","",IFERROR(VLOOKUP(Table82738[[#This Row],[Course]],COURSELIST[],8,FALSE),""))</f>
        <v/>
      </c>
      <c r="AF36" s="146"/>
      <c r="AG36" s="16"/>
      <c r="AH36" s="3" t="str">
        <f>IF(Table92839495253[[#This Row],[Course]]= "","",IFERROR(VLOOKUP(Table92839495253[[#This Row],[Course]],COURSELIST[],2,FALSE),"Course Not Found!"))</f>
        <v/>
      </c>
      <c r="AI36" s="3" t="str">
        <f>IF(Table92839495253[[#This Row],[Course]]= "","",IFERROR(VLOOKUP(Table92839495253[[#This Row],[Course]],COURSELIST[],3,FALSE),""))</f>
        <v/>
      </c>
      <c r="AJ36" s="3" t="str">
        <f>IF(Table92839495253[[#This Row],[Course]]= "","",IFERROR(VLOOKUP(Table92839495253[[#This Row],[Course]],COURSELIST[],4,FALSE),""))</f>
        <v/>
      </c>
      <c r="AK36" s="3"/>
      <c r="AL36" s="3" t="str">
        <f>IF(Table92839495253[[#This Row],[Course]]= "","",IFERROR(VLOOKUP(Table92839495253[[#This Row],[Course]],COURSELIST[],6,FALSE),""))</f>
        <v/>
      </c>
      <c r="AM36" s="3" t="str">
        <f>IF(Table92839495253[[#This Row],[Course]]= "","",IFERROR(VLOOKUP(Table92839495253[[#This Row],[Course]],COURSELIST[],7,FALSE),""))</f>
        <v/>
      </c>
      <c r="AN36" s="3" t="str">
        <f>IF(Table92839495253[[#This Row],[Course]]= "","",IFERROR(VLOOKUP(Table92839495253[[#This Row],[Course]],COURSELIST[],8,FALSE),""))</f>
        <v/>
      </c>
    </row>
    <row r="37" spans="1:40" ht="15.75" outlineLevel="1" thickBot="1">
      <c r="B37" s="146"/>
      <c r="C37" s="25"/>
      <c r="D37" s="3" t="str">
        <f>IF(Table42334[[#This Row],[Course]]= "","",IFERROR(VLOOKUP(Table42334[[#This Row],[Course]],COURSELIST[],2,FALSE),"Course Not Found!"))</f>
        <v/>
      </c>
      <c r="E37" s="3" t="str">
        <f>IF(Table42334[[#This Row],[Course]]= "","",IFERROR(VLOOKUP(Table42334[[#This Row],[Course]],COURSELIST[],3,FALSE),""))</f>
        <v/>
      </c>
      <c r="F37" s="3" t="str">
        <f>IF(Table42334[[#This Row],[Course]]= "","",IFERROR(VLOOKUP(Table42334[[#This Row],[Course]],COURSELIST[],4,FALSE),""))</f>
        <v/>
      </c>
      <c r="H37" s="3" t="str">
        <f>IF(Table42334[[#This Row],[Course]]= "","",IFERROR(VLOOKUP(Table42334[[#This Row],[Course]],COURSELIST[],6,FALSE),""))</f>
        <v/>
      </c>
      <c r="I37" s="3" t="str">
        <f>IF(Table42334[[#This Row],[Course]]= "","",IFERROR(VLOOKUP(Table42334[[#This Row],[Course]],COURSELIST[],7,FALSE),""))</f>
        <v/>
      </c>
      <c r="J37" s="3" t="str">
        <f>IF(Table42334[[#This Row],[Course]]= "","",IFERROR(VLOOKUP(Table42334[[#This Row],[Course]],COURSELIST[],8,FALSE),""))</f>
        <v/>
      </c>
      <c r="L37" s="146"/>
      <c r="M37" s="16"/>
      <c r="N37" s="3" t="str">
        <f>IF(Table133243[[#This Row],[Course]]= "","",IFERROR(VLOOKUP(Table133243[[#This Row],[Course]],COURSELIST[],2,FALSE),"Course Not Found!"))</f>
        <v/>
      </c>
      <c r="O37" s="3" t="str">
        <f>IF(Table133243[[#This Row],[Course]]= "","",IFERROR(VLOOKUP(Table133243[[#This Row],[Course]],COURSELIST[],3,FALSE),""))</f>
        <v/>
      </c>
      <c r="P37" s="3" t="str">
        <f>IF(Table133243[[#This Row],[Course]]= "","",IFERROR(VLOOKUP(Table133243[[#This Row],[Course]],COURSELIST[],4,FALSE),""))</f>
        <v/>
      </c>
      <c r="R37" s="3" t="str">
        <f>IF(Table133243[[#This Row],[Course]]= "","",IFERROR(VLOOKUP(Table133243[[#This Row],[Course]],COURSELIST[],6,FALSE),""))</f>
        <v/>
      </c>
      <c r="S37" s="3" t="str">
        <f>IF(Table133243[[#This Row],[Course]]= "","",IFERROR(VLOOKUP(Table133243[[#This Row],[Course]],COURSELIST[],7,FALSE),""))</f>
        <v/>
      </c>
      <c r="T37" s="3" t="str">
        <f>IF(Table133243[[#This Row],[Course]]= "","",IFERROR(VLOOKUP(Table133243[[#This Row],[Course]],COURSELIST[],8,FALSE),""))</f>
        <v/>
      </c>
      <c r="V37" s="146"/>
      <c r="W37" s="25"/>
      <c r="X37" s="3" t="str">
        <f>IF(Table82738[[#This Row],[Course]]= "","",IFERROR(VLOOKUP(Table82738[[#This Row],[Course]],COURSELIST[],2,FALSE),"Course Not Found!"))</f>
        <v/>
      </c>
      <c r="Y37" s="3" t="str">
        <f>IF(Table82738[[#This Row],[Course]]= "","",IFERROR(VLOOKUP(Table82738[[#This Row],[Course]],COURSELIST[],3,FALSE),""))</f>
        <v/>
      </c>
      <c r="Z37" s="3" t="str">
        <f>IF(Table82738[[#This Row],[Course]]= "","",IFERROR(VLOOKUP(Table82738[[#This Row],[Course]],COURSELIST[],4,FALSE),""))</f>
        <v/>
      </c>
      <c r="AB37" s="3" t="str">
        <f>IF(Table82738[[#This Row],[Course]]= "","",IFERROR(VLOOKUP(Table82738[[#This Row],[Course]],COURSELIST[],6,FALSE),""))</f>
        <v/>
      </c>
      <c r="AC37" s="3" t="str">
        <f>IF(Table82738[[#This Row],[Course]]= "","",IFERROR(VLOOKUP(Table82738[[#This Row],[Course]],COURSELIST[],7,FALSE),""))</f>
        <v/>
      </c>
      <c r="AD37" s="3" t="str">
        <f>IF(Table82738[[#This Row],[Course]]= "","",IFERROR(VLOOKUP(Table82738[[#This Row],[Course]],COURSELIST[],8,FALSE),""))</f>
        <v/>
      </c>
      <c r="AF37" s="146"/>
      <c r="AG37" s="25"/>
      <c r="AH37" s="3" t="str">
        <f>IF(Table92839495253[[#This Row],[Course]]= "","",IFERROR(VLOOKUP(Table92839495253[[#This Row],[Course]],COURSELIST[],2,FALSE),"Course Not Found!"))</f>
        <v/>
      </c>
      <c r="AI37" s="3" t="str">
        <f>IF(Table92839495253[[#This Row],[Course]]= "","",IFERROR(VLOOKUP(Table92839495253[[#This Row],[Course]],COURSELIST[],3,FALSE),""))</f>
        <v/>
      </c>
      <c r="AJ37" s="3" t="str">
        <f>IF(Table92839495253[[#This Row],[Course]]= "","",IFERROR(VLOOKUP(Table92839495253[[#This Row],[Course]],COURSELIST[],4,FALSE),""))</f>
        <v/>
      </c>
      <c r="AL37" s="3" t="str">
        <f>IF(Table92839495253[[#This Row],[Course]]= "","",IFERROR(VLOOKUP(Table92839495253[[#This Row],[Course]],COURSELIST[],6,FALSE),""))</f>
        <v/>
      </c>
      <c r="AM37" s="3" t="str">
        <f>IF(Table92839495253[[#This Row],[Course]]= "","",IFERROR(VLOOKUP(Table92839495253[[#This Row],[Course]],COURSELIST[],7,FALSE),""))</f>
        <v/>
      </c>
      <c r="AN37" s="3" t="str">
        <f>IF(Table92839495253[[#This Row],[Course]]= "","",IFERROR(VLOOKUP(Table92839495253[[#This Row],[Course]],COURSELIST[],8,FALSE),""))</f>
        <v/>
      </c>
    </row>
    <row r="38" spans="1:40" ht="15.75" outlineLevel="1" thickBot="1">
      <c r="B38" s="146"/>
      <c r="C38" s="25"/>
      <c r="D38" s="3" t="str">
        <f>IF(Table42334[[#This Row],[Course]]= "","",IFERROR(VLOOKUP(Table42334[[#This Row],[Course]],COURSELIST[],2,FALSE),"Course Not Found!"))</f>
        <v/>
      </c>
      <c r="E38" s="3" t="str">
        <f>IF(Table42334[[#This Row],[Course]]= "","",IFERROR(VLOOKUP(Table42334[[#This Row],[Course]],COURSELIST[],3,FALSE),""))</f>
        <v/>
      </c>
      <c r="F38" s="3" t="str">
        <f>IF(Table42334[[#This Row],[Course]]= "","",IFERROR(VLOOKUP(Table42334[[#This Row],[Course]],COURSELIST[],4,FALSE),""))</f>
        <v/>
      </c>
      <c r="H38" s="3" t="str">
        <f>IF(Table42334[[#This Row],[Course]]= "","",IFERROR(VLOOKUP(Table42334[[#This Row],[Course]],COURSELIST[],6,FALSE),""))</f>
        <v/>
      </c>
      <c r="I38" s="3" t="str">
        <f>IF(Table42334[[#This Row],[Course]]= "","",IFERROR(VLOOKUP(Table42334[[#This Row],[Course]],COURSELIST[],7,FALSE),""))</f>
        <v/>
      </c>
      <c r="J38" s="3" t="str">
        <f>IF(Table42334[[#This Row],[Course]]= "","",IFERROR(VLOOKUP(Table42334[[#This Row],[Course]],COURSELIST[],8,FALSE),""))</f>
        <v/>
      </c>
      <c r="L38" s="146"/>
      <c r="M38" s="16"/>
      <c r="N38" s="3" t="str">
        <f>IF(Table133243[[#This Row],[Course]]= "","",IFERROR(VLOOKUP(Table133243[[#This Row],[Course]],COURSELIST[],2,FALSE),"Course Not Found!"))</f>
        <v/>
      </c>
      <c r="O38" s="3" t="str">
        <f>IF(Table133243[[#This Row],[Course]]= "","",IFERROR(VLOOKUP(Table133243[[#This Row],[Course]],COURSELIST[],3,FALSE),""))</f>
        <v/>
      </c>
      <c r="P38" s="3" t="str">
        <f>IF(Table133243[[#This Row],[Course]]= "","",IFERROR(VLOOKUP(Table133243[[#This Row],[Course]],COURSELIST[],4,FALSE),""))</f>
        <v/>
      </c>
      <c r="R38" s="3" t="str">
        <f>IF(Table133243[[#This Row],[Course]]= "","",IFERROR(VLOOKUP(Table133243[[#This Row],[Course]],COURSELIST[],6,FALSE),""))</f>
        <v/>
      </c>
      <c r="S38" s="3" t="str">
        <f>IF(Table133243[[#This Row],[Course]]= "","",IFERROR(VLOOKUP(Table133243[[#This Row],[Course]],COURSELIST[],7,FALSE),""))</f>
        <v/>
      </c>
      <c r="T38" s="3" t="str">
        <f>IF(Table133243[[#This Row],[Course]]= "","",IFERROR(VLOOKUP(Table133243[[#This Row],[Course]],COURSELIST[],8,FALSE),""))</f>
        <v/>
      </c>
      <c r="V38" s="146"/>
      <c r="W38" s="25"/>
      <c r="X38" s="3" t="str">
        <f>IF(Table82738[[#This Row],[Course]]= "","",IFERROR(VLOOKUP(Table82738[[#This Row],[Course]],COURSELIST[],2,FALSE),"Course Not Found!"))</f>
        <v/>
      </c>
      <c r="Y38" s="3" t="str">
        <f>IF(Table82738[[#This Row],[Course]]= "","",IFERROR(VLOOKUP(Table82738[[#This Row],[Course]],COURSELIST[],3,FALSE),""))</f>
        <v/>
      </c>
      <c r="Z38" s="3" t="str">
        <f>IF(Table82738[[#This Row],[Course]]= "","",IFERROR(VLOOKUP(Table82738[[#This Row],[Course]],COURSELIST[],4,FALSE),""))</f>
        <v/>
      </c>
      <c r="AB38" s="3" t="str">
        <f>IF(Table82738[[#This Row],[Course]]= "","",IFERROR(VLOOKUP(Table82738[[#This Row],[Course]],COURSELIST[],6,FALSE),""))</f>
        <v/>
      </c>
      <c r="AC38" s="3" t="str">
        <f>IF(Table82738[[#This Row],[Course]]= "","",IFERROR(VLOOKUP(Table82738[[#This Row],[Course]],COURSELIST[],7,FALSE),""))</f>
        <v/>
      </c>
      <c r="AD38" s="3" t="str">
        <f>IF(Table82738[[#This Row],[Course]]= "","",IFERROR(VLOOKUP(Table82738[[#This Row],[Course]],COURSELIST[],8,FALSE),""))</f>
        <v/>
      </c>
      <c r="AF38" s="146"/>
      <c r="AG38" s="25"/>
      <c r="AH38" s="3" t="str">
        <f>IF(Table92839495253[[#This Row],[Course]]= "","",IFERROR(VLOOKUP(Table92839495253[[#This Row],[Course]],COURSELIST[],2,FALSE),"Course Not Found!"))</f>
        <v/>
      </c>
      <c r="AI38" s="3" t="str">
        <f>IF(Table92839495253[[#This Row],[Course]]= "","",IFERROR(VLOOKUP(Table92839495253[[#This Row],[Course]],COURSELIST[],3,FALSE),""))</f>
        <v/>
      </c>
      <c r="AJ38" s="3" t="str">
        <f>IF(Table92839495253[[#This Row],[Course]]= "","",IFERROR(VLOOKUP(Table92839495253[[#This Row],[Course]],COURSELIST[],4,FALSE),""))</f>
        <v/>
      </c>
      <c r="AL38" s="3" t="str">
        <f>IF(Table92839495253[[#This Row],[Course]]= "","",IFERROR(VLOOKUP(Table92839495253[[#This Row],[Course]],COURSELIST[],6,FALSE),""))</f>
        <v/>
      </c>
      <c r="AM38" s="3" t="str">
        <f>IF(Table92839495253[[#This Row],[Course]]= "","",IFERROR(VLOOKUP(Table92839495253[[#This Row],[Course]],COURSELIST[],7,FALSE),""))</f>
        <v/>
      </c>
      <c r="AN38" s="3" t="str">
        <f>IF(Table92839495253[[#This Row],[Course]]= "","",IFERROR(VLOOKUP(Table92839495253[[#This Row],[Course]],COURSELIST[],8,FALSE),""))</f>
        <v/>
      </c>
    </row>
    <row r="39" spans="1:40" ht="15.75" outlineLevel="1" thickBot="1">
      <c r="B39" s="146"/>
      <c r="C39" s="17"/>
      <c r="D39" s="3" t="str">
        <f>IF(Table42334[[#This Row],[Course]]= "","",IFERROR(VLOOKUP(Table42334[[#This Row],[Course]],COURSELIST[],2,FALSE),"Course Not Found!"))</f>
        <v/>
      </c>
      <c r="E39" s="3" t="str">
        <f>IF(Table42334[[#This Row],[Course]]= "","",IFERROR(VLOOKUP(Table42334[[#This Row],[Course]],COURSELIST[],3,FALSE),""))</f>
        <v/>
      </c>
      <c r="F39" s="3" t="str">
        <f>IF(Table42334[[#This Row],[Course]]= "","",IFERROR(VLOOKUP(Table42334[[#This Row],[Course]],COURSELIST[],4,FALSE),""))</f>
        <v/>
      </c>
      <c r="H39" s="3" t="str">
        <f>IF(Table42334[[#This Row],[Course]]= "","",IFERROR(VLOOKUP(Table42334[[#This Row],[Course]],COURSELIST[],6,FALSE),""))</f>
        <v/>
      </c>
      <c r="I39" s="3" t="str">
        <f>IF(Table42334[[#This Row],[Course]]= "","",IFERROR(VLOOKUP(Table42334[[#This Row],[Course]],COURSELIST[],7,FALSE),""))</f>
        <v/>
      </c>
      <c r="J39" s="3" t="str">
        <f>IF(Table42334[[#This Row],[Course]]= "","",IFERROR(VLOOKUP(Table42334[[#This Row],[Course]],COURSELIST[],8,FALSE),""))</f>
        <v/>
      </c>
      <c r="K39" s="5"/>
      <c r="L39" s="146"/>
      <c r="M39" s="16"/>
      <c r="N39" s="3" t="str">
        <f>IF(Table133243[[#This Row],[Course]]= "","",IFERROR(VLOOKUP(Table133243[[#This Row],[Course]],COURSELIST[],2,FALSE),"Course Not Found!"))</f>
        <v/>
      </c>
      <c r="O39" s="3" t="str">
        <f>IF(Table133243[[#This Row],[Course]]= "","",IFERROR(VLOOKUP(Table133243[[#This Row],[Course]],COURSELIST[],3,FALSE),""))</f>
        <v/>
      </c>
      <c r="P39" s="3" t="str">
        <f>IF(Table133243[[#This Row],[Course]]= "","",IFERROR(VLOOKUP(Table133243[[#This Row],[Course]],COURSELIST[],4,FALSE),""))</f>
        <v/>
      </c>
      <c r="R39" s="3" t="str">
        <f>IF(Table133243[[#This Row],[Course]]= "","",IFERROR(VLOOKUP(Table133243[[#This Row],[Course]],COURSELIST[],6,FALSE),""))</f>
        <v/>
      </c>
      <c r="S39" s="3" t="str">
        <f>IF(Table133243[[#This Row],[Course]]= "","",IFERROR(VLOOKUP(Table133243[[#This Row],[Course]],COURSELIST[],7,FALSE),""))</f>
        <v/>
      </c>
      <c r="T39" s="3" t="str">
        <f>IF(Table133243[[#This Row],[Course]]= "","",IFERROR(VLOOKUP(Table133243[[#This Row],[Course]],COURSELIST[],8,FALSE),""))</f>
        <v/>
      </c>
      <c r="U39" s="5"/>
      <c r="V39" s="146"/>
      <c r="W39" s="25"/>
      <c r="X39" s="3" t="str">
        <f>IF(Table82738[[#This Row],[Course]]= "","",IFERROR(VLOOKUP(Table82738[[#This Row],[Course]],COURSELIST[],2,FALSE),"Course Not Found!"))</f>
        <v/>
      </c>
      <c r="Y39" s="3" t="str">
        <f>IF(Table82738[[#This Row],[Course]]= "","",IFERROR(VLOOKUP(Table82738[[#This Row],[Course]],COURSELIST[],3,FALSE),""))</f>
        <v/>
      </c>
      <c r="Z39" s="3" t="str">
        <f>IF(Table82738[[#This Row],[Course]]= "","",IFERROR(VLOOKUP(Table82738[[#This Row],[Course]],COURSELIST[],4,FALSE),""))</f>
        <v/>
      </c>
      <c r="AB39" s="3" t="str">
        <f>IF(Table82738[[#This Row],[Course]]= "","",IFERROR(VLOOKUP(Table82738[[#This Row],[Course]],COURSELIST[],6,FALSE),""))</f>
        <v/>
      </c>
      <c r="AC39" s="3" t="str">
        <f>IF(Table82738[[#This Row],[Course]]= "","",IFERROR(VLOOKUP(Table82738[[#This Row],[Course]],COURSELIST[],7,FALSE),""))</f>
        <v/>
      </c>
      <c r="AD39" s="3" t="str">
        <f>IF(Table82738[[#This Row],[Course]]= "","",IFERROR(VLOOKUP(Table82738[[#This Row],[Course]],COURSELIST[],8,FALSE),""))</f>
        <v/>
      </c>
      <c r="AF39" s="146"/>
      <c r="AG39" s="28"/>
      <c r="AH39" s="3" t="str">
        <f>IF(Table92839495253[[#This Row],[Course]]= "","",IFERROR(VLOOKUP(Table92839495253[[#This Row],[Course]],COURSELIST[],2,FALSE),"Course Not Found!"))</f>
        <v/>
      </c>
      <c r="AI39" s="3" t="str">
        <f>IF(Table92839495253[[#This Row],[Course]]= "","",IFERROR(VLOOKUP(Table92839495253[[#This Row],[Course]],COURSELIST[],3,FALSE),""))</f>
        <v/>
      </c>
      <c r="AJ39" s="3" t="str">
        <f>IF(Table92839495253[[#This Row],[Course]]= "","",IFERROR(VLOOKUP(Table92839495253[[#This Row],[Course]],COURSELIST[],4,FALSE),""))</f>
        <v/>
      </c>
      <c r="AL39" s="3" t="str">
        <f>IF(Table92839495253[[#This Row],[Course]]= "","",IFERROR(VLOOKUP(Table92839495253[[#This Row],[Course]],COURSELIST[],6,FALSE),""))</f>
        <v/>
      </c>
      <c r="AM39" s="3" t="str">
        <f>IF(Table92839495253[[#This Row],[Course]]= "","",IFERROR(VLOOKUP(Table92839495253[[#This Row],[Course]],COURSELIST[],7,FALSE),""))</f>
        <v/>
      </c>
      <c r="AN39" s="3" t="str">
        <f>IF(Table92839495253[[#This Row],[Course]]= "","",IFERROR(VLOOKUP(Table92839495253[[#This Row],[Course]],COURSELIST[],8,FALSE),""))</f>
        <v/>
      </c>
    </row>
    <row r="40" spans="1:40" outlineLevel="1">
      <c r="C40" s="5"/>
      <c r="D40" s="5"/>
      <c r="E40" s="3" t="s">
        <v>10</v>
      </c>
      <c r="F40" s="3">
        <f>SUM(F33:F39)</f>
        <v>0</v>
      </c>
      <c r="I40" s="3" t="s">
        <v>27</v>
      </c>
      <c r="J40" s="3">
        <f>SUM(J33:J39)</f>
        <v>0</v>
      </c>
      <c r="O40" s="3" t="s">
        <v>10</v>
      </c>
      <c r="P40" s="3">
        <f>SUM(P33:P39)</f>
        <v>0</v>
      </c>
      <c r="S40" s="3" t="s">
        <v>27</v>
      </c>
      <c r="T40" s="3">
        <f>SUM(T33:T39)</f>
        <v>0</v>
      </c>
      <c r="Y40" s="3" t="s">
        <v>10</v>
      </c>
      <c r="Z40" s="3">
        <f>SUM(Z33:Z39)</f>
        <v>0</v>
      </c>
      <c r="AC40" s="3" t="s">
        <v>27</v>
      </c>
      <c r="AD40" s="3">
        <f>SUM(AD33:AD39)</f>
        <v>0</v>
      </c>
      <c r="AI40" s="3" t="s">
        <v>10</v>
      </c>
      <c r="AJ40" s="3">
        <f>SUM(AJ33:AJ39)</f>
        <v>0</v>
      </c>
      <c r="AM40" s="3" t="s">
        <v>27</v>
      </c>
      <c r="AN40" s="3">
        <f>SUM(AN33:AN39)</f>
        <v>0</v>
      </c>
    </row>
    <row r="41" spans="1:40" outlineLevel="1">
      <c r="E41" s="3" t="s">
        <v>18</v>
      </c>
      <c r="F41" s="3">
        <f>F40+AJ27</f>
        <v>0</v>
      </c>
      <c r="I41" s="3" t="s">
        <v>17</v>
      </c>
      <c r="J41" s="3">
        <f>J40+AN27</f>
        <v>0</v>
      </c>
      <c r="O41" s="3" t="s">
        <v>18</v>
      </c>
      <c r="P41" s="3">
        <f>P40+F41</f>
        <v>0</v>
      </c>
      <c r="S41" s="3" t="s">
        <v>17</v>
      </c>
      <c r="T41" s="3">
        <f>T40+J41</f>
        <v>0</v>
      </c>
      <c r="Y41" s="3" t="s">
        <v>18</v>
      </c>
      <c r="Z41" s="3">
        <f>Z40+P41</f>
        <v>0</v>
      </c>
      <c r="AC41" s="3" t="s">
        <v>17</v>
      </c>
      <c r="AD41" s="3">
        <f>AD40+T41</f>
        <v>0</v>
      </c>
      <c r="AI41" s="3" t="s">
        <v>18</v>
      </c>
      <c r="AJ41" s="3">
        <f>AJ40+Z41</f>
        <v>0</v>
      </c>
      <c r="AM41" s="3" t="s">
        <v>17</v>
      </c>
      <c r="AN41" s="3">
        <f>AN40+AD41</f>
        <v>0</v>
      </c>
    </row>
    <row r="42" spans="1:40" s="23" customFormat="1" ht="21" outlineLevel="1">
      <c r="C42" s="3"/>
      <c r="D42" s="3"/>
      <c r="E42" s="5" t="s">
        <v>19</v>
      </c>
      <c r="F42" s="5">
        <f>F40+AJ28</f>
        <v>0</v>
      </c>
      <c r="G42" s="5"/>
      <c r="H42" s="3"/>
      <c r="I42" s="3" t="s">
        <v>14</v>
      </c>
      <c r="J42" s="3" t="e">
        <f>J40/F40</f>
        <v>#DIV/0!</v>
      </c>
      <c r="M42" s="3"/>
      <c r="N42" s="3"/>
      <c r="O42" s="5" t="s">
        <v>19</v>
      </c>
      <c r="P42" s="5">
        <f>P40+F42</f>
        <v>0</v>
      </c>
      <c r="Q42" s="5"/>
      <c r="S42" s="3" t="s">
        <v>14</v>
      </c>
      <c r="T42" s="3" t="e">
        <f>T40/P40</f>
        <v>#DIV/0!</v>
      </c>
      <c r="W42" s="5"/>
      <c r="X42" s="5"/>
      <c r="Y42" s="5" t="s">
        <v>19</v>
      </c>
      <c r="Z42" s="5">
        <f>Z40+P42</f>
        <v>0</v>
      </c>
      <c r="AA42" s="5"/>
      <c r="AB42" s="3"/>
      <c r="AC42" s="3" t="s">
        <v>14</v>
      </c>
      <c r="AD42" s="3" t="e">
        <f>AD40/Z40</f>
        <v>#DIV/0!</v>
      </c>
      <c r="AG42" s="5"/>
      <c r="AH42" s="5"/>
      <c r="AI42" s="5" t="s">
        <v>19</v>
      </c>
      <c r="AJ42" s="5">
        <f>AJ40+Z42</f>
        <v>0</v>
      </c>
      <c r="AK42" s="5"/>
      <c r="AL42" s="3"/>
      <c r="AM42" s="3" t="s">
        <v>14</v>
      </c>
      <c r="AN42" s="3" t="e">
        <f>AN40/AJ40</f>
        <v>#DIV/0!</v>
      </c>
    </row>
    <row r="43" spans="1:40" ht="21.75" outlineLevel="1" thickBot="1">
      <c r="H43" s="23"/>
      <c r="I43" s="5" t="s">
        <v>16</v>
      </c>
      <c r="J43" s="5" t="e">
        <f>J41/F42</f>
        <v>#DIV/0!</v>
      </c>
      <c r="M43" s="5"/>
      <c r="N43" s="5"/>
      <c r="S43" s="5" t="s">
        <v>16</v>
      </c>
      <c r="T43" s="5" t="e">
        <f>T41/P42</f>
        <v>#DIV/0!</v>
      </c>
      <c r="AC43" s="5" t="s">
        <v>16</v>
      </c>
      <c r="AD43" s="5" t="e">
        <f>AD41/Z42</f>
        <v>#DIV/0!</v>
      </c>
      <c r="AM43" s="5" t="s">
        <v>16</v>
      </c>
      <c r="AN43" s="5" t="e">
        <f>AN41/AJ42</f>
        <v>#DIV/0!</v>
      </c>
    </row>
    <row r="44" spans="1:40" ht="21.75" thickBot="1">
      <c r="A44" s="94" t="s">
        <v>91</v>
      </c>
      <c r="D44" s="38"/>
      <c r="J44" s="23"/>
    </row>
    <row r="45" spans="1:40" ht="23.25" customHeight="1" outlineLevel="1" thickBot="1">
      <c r="B45" s="146" t="s">
        <v>118</v>
      </c>
      <c r="C45" s="140" t="s">
        <v>5</v>
      </c>
      <c r="D45" s="141"/>
      <c r="E45" s="142"/>
      <c r="F45" s="148" t="str">
        <f>GradeStatus(Z41)&amp;"--"&amp;Z41&amp;" Credits "&amp;F55&amp;" In Progress"</f>
        <v>Freshmen--0 Credits 0 In Progress</v>
      </c>
      <c r="G45" s="149"/>
      <c r="H45" s="149"/>
      <c r="I45" s="149"/>
      <c r="J45" s="149"/>
      <c r="L45" s="146" t="s">
        <v>94</v>
      </c>
      <c r="M45" s="143" t="s">
        <v>23</v>
      </c>
      <c r="N45" s="144"/>
      <c r="O45" s="145"/>
      <c r="P45" s="150" t="str">
        <f>GradeStatus(F55)&amp;"--"&amp;F55&amp;" Credits "&amp;P55&amp;" In Progress"</f>
        <v>Freshmen--0 Credits 0 In Progress</v>
      </c>
      <c r="Q45" s="151"/>
      <c r="R45" s="151"/>
      <c r="S45" s="151"/>
      <c r="T45" s="151"/>
      <c r="V45" s="146" t="s">
        <v>95</v>
      </c>
      <c r="W45" s="152" t="s">
        <v>22</v>
      </c>
      <c r="X45" s="153"/>
      <c r="Y45" s="154"/>
      <c r="Z45" s="160" t="str">
        <f>GradeStatus(P55)&amp;"--"&amp;P55&amp;" Credits "&amp;Z55&amp;" In Progress"</f>
        <v>Freshmen--0 Credits 0 In Progress</v>
      </c>
      <c r="AA45" s="161"/>
      <c r="AB45" s="161"/>
      <c r="AC45" s="161"/>
      <c r="AD45" s="161"/>
      <c r="AF45" s="146" t="s">
        <v>96</v>
      </c>
      <c r="AG45" s="155" t="s">
        <v>54</v>
      </c>
      <c r="AH45" s="156"/>
      <c r="AI45" s="157"/>
      <c r="AJ45" s="158" t="str">
        <f>GradeStatus(Z55)&amp;"--"&amp;Z55&amp;" Credits "&amp;AJ55&amp;" In Progress"</f>
        <v>Freshmen--0 Credits 0 In Progress</v>
      </c>
      <c r="AK45" s="159"/>
      <c r="AL45" s="159"/>
      <c r="AM45" s="159"/>
      <c r="AN45" s="159"/>
    </row>
    <row r="46" spans="1:40" ht="15.75" outlineLevel="1" thickBot="1">
      <c r="B46" s="146"/>
      <c r="C46" s="3" t="s">
        <v>20</v>
      </c>
      <c r="D46" s="3" t="s">
        <v>24</v>
      </c>
      <c r="E46" s="3" t="s">
        <v>25</v>
      </c>
      <c r="F46" s="3" t="s">
        <v>10</v>
      </c>
      <c r="G46" s="3" t="s">
        <v>26</v>
      </c>
      <c r="H46" s="3" t="s">
        <v>12</v>
      </c>
      <c r="I46" s="3" t="s">
        <v>36</v>
      </c>
      <c r="J46" s="3" t="s">
        <v>28</v>
      </c>
      <c r="L46" s="146"/>
      <c r="M46" s="3" t="s">
        <v>20</v>
      </c>
      <c r="N46" s="3" t="s">
        <v>24</v>
      </c>
      <c r="O46" s="3" t="s">
        <v>25</v>
      </c>
      <c r="P46" s="3" t="s">
        <v>10</v>
      </c>
      <c r="Q46" s="3" t="s">
        <v>26</v>
      </c>
      <c r="R46" s="3" t="s">
        <v>12</v>
      </c>
      <c r="S46" s="3" t="s">
        <v>36</v>
      </c>
      <c r="T46" s="3" t="s">
        <v>28</v>
      </c>
      <c r="V46" s="146"/>
      <c r="W46" s="3" t="s">
        <v>20</v>
      </c>
      <c r="X46" s="3" t="s">
        <v>24</v>
      </c>
      <c r="Y46" s="3" t="s">
        <v>25</v>
      </c>
      <c r="Z46" s="3" t="s">
        <v>10</v>
      </c>
      <c r="AA46" s="3" t="s">
        <v>26</v>
      </c>
      <c r="AB46" s="3" t="s">
        <v>12</v>
      </c>
      <c r="AC46" s="3" t="s">
        <v>36</v>
      </c>
      <c r="AD46" s="3" t="s">
        <v>28</v>
      </c>
      <c r="AF46" s="146"/>
      <c r="AG46" s="3" t="s">
        <v>20</v>
      </c>
      <c r="AH46" s="3" t="s">
        <v>24</v>
      </c>
      <c r="AI46" s="3" t="s">
        <v>25</v>
      </c>
      <c r="AJ46" s="3" t="s">
        <v>10</v>
      </c>
      <c r="AK46" s="3" t="s">
        <v>26</v>
      </c>
      <c r="AL46" s="3" t="s">
        <v>12</v>
      </c>
      <c r="AM46" s="3" t="s">
        <v>36</v>
      </c>
      <c r="AN46" s="3" t="s">
        <v>28</v>
      </c>
    </row>
    <row r="47" spans="1:40" ht="15.75" outlineLevel="1" thickBot="1">
      <c r="B47" s="146"/>
      <c r="C47" s="16"/>
      <c r="D47" s="3" t="str">
        <f>IF(Table32221[[#This Row],[Course]]= "","",IFERROR(VLOOKUP(Table32221[[#This Row],[Course]],COURSELIST[],2,FALSE),"Course Not Found!"))</f>
        <v/>
      </c>
      <c r="E47" s="3" t="str">
        <f>IF(Table32221[[#This Row],[Course]]= "","",IFERROR(VLOOKUP(Table32221[[#This Row],[Course]],COURSELIST[],3,FALSE),""))</f>
        <v/>
      </c>
      <c r="F47" s="3" t="str">
        <f>IF(Table32221[[#This Row],[Course]]= "","",IFERROR(VLOOKUP(Table32221[[#This Row],[Course]],COURSELIST[],4,FALSE),""))</f>
        <v/>
      </c>
      <c r="H47" s="3" t="str">
        <f>IF(Table32221[[#This Row],[Course]]= "","",IFERROR(VLOOKUP(Table32221[[#This Row],[Course]],COURSELIST[],6,FALSE),""))</f>
        <v/>
      </c>
      <c r="I47" s="3" t="str">
        <f>IF(Table32221[[#This Row],[Course]]= "","",IFERROR(VLOOKUP(Table32221[[#This Row],[Course]],COURSELIST[],7,FALSE),""))</f>
        <v/>
      </c>
      <c r="J47" s="3" t="str">
        <f>IF(Table32221[[#This Row],[Course]]= "","",IFERROR(VLOOKUP(Table32221[[#This Row],[Course]],COURSELIST[],8,FALSE),""))</f>
        <v/>
      </c>
      <c r="L47" s="146"/>
      <c r="M47" s="27"/>
      <c r="N47" s="3" t="str">
        <f>IF(Table143344[[#This Row],[Course]]= "","",IFERROR(VLOOKUP(Table143344[[#This Row],[Course]],COURSELIST[],2,FALSE),"Course Not Found!"))</f>
        <v/>
      </c>
      <c r="O47" s="3" t="str">
        <f>IF(Table143344[[#This Row],[Course]]= "","",IFERROR(VLOOKUP(Table143344[[#This Row],[Course]],COURSELIST[],3,FALSE),""))</f>
        <v/>
      </c>
      <c r="P47" s="3" t="str">
        <f>IF(Table143344[[#This Row],[Course]]= "","",IFERROR(VLOOKUP(Table143344[[#This Row],[Course]],COURSELIST[],4,FALSE),""))</f>
        <v/>
      </c>
      <c r="R47" s="3" t="str">
        <f>IF(Table143344[[#This Row],[Course]]= "","",IFERROR(VLOOKUP(Table143344[[#This Row],[Course]],COURSELIST[],6,FALSE),""))</f>
        <v/>
      </c>
      <c r="S47" s="3" t="str">
        <f>IF(Table143344[[#This Row],[Course]]= "","",IFERROR(VLOOKUP(Table143344[[#This Row],[Course]],COURSELIST[],7,FALSE),""))</f>
        <v/>
      </c>
      <c r="T47" s="3" t="str">
        <f>IF(Table143344[[#This Row],[Course]]= "","",IFERROR(VLOOKUP(Table143344[[#This Row],[Course]],COURSELIST[],8,FALSE),""))</f>
        <v/>
      </c>
      <c r="V47" s="146"/>
      <c r="W47" s="25"/>
      <c r="X47" s="3" t="str">
        <f>IF(Table92839[[#This Row],[Course]]= "","",IFERROR(VLOOKUP(Table92839[[#This Row],[Course]],COURSELIST[],2,FALSE),"Course Not Found!"))</f>
        <v/>
      </c>
      <c r="Y47" s="3" t="str">
        <f>IF(Table92839[[#This Row],[Course]]= "","",IFERROR(VLOOKUP(Table92839[[#This Row],[Course]],COURSELIST[],3,FALSE),""))</f>
        <v/>
      </c>
      <c r="Z47" s="3" t="str">
        <f>IF(Table92839[[#This Row],[Course]]= "","",IFERROR(VLOOKUP(Table92839[[#This Row],[Course]],COURSELIST[],4,FALSE),""))</f>
        <v/>
      </c>
      <c r="AB47" s="3" t="str">
        <f>IF(Table92839[[#This Row],[Course]]= "","",IFERROR(VLOOKUP(Table92839[[#This Row],[Course]],COURSELIST[],6,FALSE),""))</f>
        <v/>
      </c>
      <c r="AC47" s="3" t="str">
        <f>IF(Table92839[[#This Row],[Course]]= "","",IFERROR(VLOOKUP(Table92839[[#This Row],[Course]],COURSELIST[],7,FALSE),""))</f>
        <v/>
      </c>
      <c r="AD47" s="3" t="str">
        <f>IF(Table92839[[#This Row],[Course]]= "","",IFERROR(VLOOKUP(Table92839[[#This Row],[Course]],COURSELIST[],8,FALSE),""))</f>
        <v/>
      </c>
      <c r="AF47" s="146"/>
      <c r="AG47" s="25"/>
      <c r="AH47" s="3" t="str">
        <f>IF(Table928394952[[#This Row],[Course]]= "","",IFERROR(VLOOKUP(Table928394952[[#This Row],[Course]],COURSELIST[],2,FALSE),"Course Not Found!"))</f>
        <v/>
      </c>
      <c r="AI47" s="3" t="str">
        <f>IF(Table928394952[[#This Row],[Course]]= "","",IFERROR(VLOOKUP(Table928394952[[#This Row],[Course]],COURSELIST[],3,FALSE),""))</f>
        <v/>
      </c>
      <c r="AJ47" s="3" t="str">
        <f>IF(Table928394952[[#This Row],[Course]]= "","",IFERROR(VLOOKUP(Table928394952[[#This Row],[Course]],COURSELIST[],4,FALSE),""))</f>
        <v/>
      </c>
      <c r="AL47" s="3" t="str">
        <f>IF(Table928394952[[#This Row],[Course]]= "","",IFERROR(VLOOKUP(Table928394952[[#This Row],[Course]],COURSELIST[],6,FALSE),""))</f>
        <v/>
      </c>
      <c r="AM47" s="3" t="str">
        <f>IF(Table928394952[[#This Row],[Course]]= "","",IFERROR(VLOOKUP(Table928394952[[#This Row],[Course]],COURSELIST[],7,FALSE),""))</f>
        <v/>
      </c>
      <c r="AN47" s="3" t="str">
        <f>IF(Table928394952[[#This Row],[Course]]= "","",IFERROR(VLOOKUP(Table928394952[[#This Row],[Course]],COURSELIST[],8,FALSE),""))</f>
        <v/>
      </c>
    </row>
    <row r="48" spans="1:40" ht="15.75" outlineLevel="1" thickBot="1">
      <c r="B48" s="146"/>
      <c r="C48" s="16"/>
      <c r="D48" s="3" t="str">
        <f>IF(Table32221[[#This Row],[Course]]= "","",IFERROR(VLOOKUP(Table32221[[#This Row],[Course]],COURSELIST[],2,FALSE),"Course Not Found!"))</f>
        <v/>
      </c>
      <c r="E48" s="3" t="str">
        <f>IF(Table32221[[#This Row],[Course]]= "","",IFERROR(VLOOKUP(Table32221[[#This Row],[Course]],COURSELIST[],3,FALSE),""))</f>
        <v/>
      </c>
      <c r="F48" s="3" t="str">
        <f>IF(Table32221[[#This Row],[Course]]= "","",IFERROR(VLOOKUP(Table32221[[#This Row],[Course]],COURSELIST[],4,FALSE),""))</f>
        <v/>
      </c>
      <c r="H48" s="3" t="str">
        <f>IF(Table32221[[#This Row],[Course]]= "","",IFERROR(VLOOKUP(Table32221[[#This Row],[Course]],COURSELIST[],6,FALSE),""))</f>
        <v/>
      </c>
      <c r="I48" s="3" t="str">
        <f>IF(Table32221[[#This Row],[Course]]= "","",IFERROR(VLOOKUP(Table32221[[#This Row],[Course]],COURSELIST[],7,FALSE),""))</f>
        <v/>
      </c>
      <c r="J48" s="3" t="str">
        <f>IF(Table32221[[#This Row],[Course]]= "","",IFERROR(VLOOKUP(Table32221[[#This Row],[Course]],COURSELIST[],8,FALSE),""))</f>
        <v/>
      </c>
      <c r="K48" s="5"/>
      <c r="L48" s="146"/>
      <c r="M48" s="25"/>
      <c r="N48" s="3" t="str">
        <f>IF(Table143344[[#This Row],[Course]]= "","",IFERROR(VLOOKUP(Table143344[[#This Row],[Course]],COURSELIST[],2,FALSE),"Course Not Found!"))</f>
        <v/>
      </c>
      <c r="O48" s="3" t="str">
        <f>IF(Table143344[[#This Row],[Course]]= "","",IFERROR(VLOOKUP(Table143344[[#This Row],[Course]],COURSELIST[],3,FALSE),""))</f>
        <v/>
      </c>
      <c r="P48" s="3" t="str">
        <f>IF(Table143344[[#This Row],[Course]]= "","",IFERROR(VLOOKUP(Table143344[[#This Row],[Course]],COURSELIST[],4,FALSE),""))</f>
        <v/>
      </c>
      <c r="R48" s="3" t="str">
        <f>IF(Table143344[[#This Row],[Course]]= "","",IFERROR(VLOOKUP(Table143344[[#This Row],[Course]],COURSELIST[],6,FALSE),""))</f>
        <v/>
      </c>
      <c r="S48" s="3" t="str">
        <f>IF(Table143344[[#This Row],[Course]]= "","",IFERROR(VLOOKUP(Table143344[[#This Row],[Course]],COURSELIST[],7,FALSE),""))</f>
        <v/>
      </c>
      <c r="T48" s="3" t="str">
        <f>IF(Table143344[[#This Row],[Course]]= "","",IFERROR(VLOOKUP(Table143344[[#This Row],[Course]],COURSELIST[],8,FALSE),""))</f>
        <v/>
      </c>
      <c r="U48" s="5"/>
      <c r="V48" s="146"/>
      <c r="W48" s="16"/>
      <c r="X48" s="3" t="str">
        <f>IF(Table92839[[#This Row],[Course]]= "","",IFERROR(VLOOKUP(Table92839[[#This Row],[Course]],COURSELIST[],2,FALSE),"Course Not Found!"))</f>
        <v/>
      </c>
      <c r="Y48" s="3" t="str">
        <f>IF(Table92839[[#This Row],[Course]]= "","",IFERROR(VLOOKUP(Table92839[[#This Row],[Course]],COURSELIST[],3,FALSE),""))</f>
        <v/>
      </c>
      <c r="Z48" s="3" t="str">
        <f>IF(Table92839[[#This Row],[Course]]= "","",IFERROR(VLOOKUP(Table92839[[#This Row],[Course]],COURSELIST[],4,FALSE),""))</f>
        <v/>
      </c>
      <c r="AB48" s="3" t="str">
        <f>IF(Table92839[[#This Row],[Course]]= "","",IFERROR(VLOOKUP(Table92839[[#This Row],[Course]],COURSELIST[],6,FALSE),""))</f>
        <v/>
      </c>
      <c r="AC48" s="3" t="str">
        <f>IF(Table92839[[#This Row],[Course]]= "","",IFERROR(VLOOKUP(Table92839[[#This Row],[Course]],COURSELIST[],7,FALSE),""))</f>
        <v/>
      </c>
      <c r="AD48" s="3" t="str">
        <f>IF(Table92839[[#This Row],[Course]]= "","",IFERROR(VLOOKUP(Table92839[[#This Row],[Course]],COURSELIST[],8,FALSE),""))</f>
        <v/>
      </c>
      <c r="AF48" s="146"/>
      <c r="AG48" s="25"/>
      <c r="AH48" s="3" t="str">
        <f>IF(Table928394952[[#This Row],[Course]]= "","",IFERROR(VLOOKUP(Table928394952[[#This Row],[Course]],COURSELIST[],2,FALSE),"Course Not Found!"))</f>
        <v/>
      </c>
      <c r="AI48" s="3" t="str">
        <f>IF(Table928394952[[#This Row],[Course]]= "","",IFERROR(VLOOKUP(Table928394952[[#This Row],[Course]],COURSELIST[],3,FALSE),""))</f>
        <v/>
      </c>
      <c r="AJ48" s="3" t="str">
        <f>IF(Table928394952[[#This Row],[Course]]= "","",IFERROR(VLOOKUP(Table928394952[[#This Row],[Course]],COURSELIST[],4,FALSE),""))</f>
        <v/>
      </c>
      <c r="AL48" s="3" t="str">
        <f>IF(Table928394952[[#This Row],[Course]]= "","",IFERROR(VLOOKUP(Table928394952[[#This Row],[Course]],COURSELIST[],6,FALSE),""))</f>
        <v/>
      </c>
      <c r="AM48" s="3" t="str">
        <f>IF(Table928394952[[#This Row],[Course]]= "","",IFERROR(VLOOKUP(Table928394952[[#This Row],[Course]],COURSELIST[],7,FALSE),""))</f>
        <v/>
      </c>
      <c r="AN48" s="3" t="str">
        <f>IF(Table928394952[[#This Row],[Course]]= "","",IFERROR(VLOOKUP(Table928394952[[#This Row],[Course]],COURSELIST[],8,FALSE),""))</f>
        <v/>
      </c>
    </row>
    <row r="49" spans="1:40" ht="15.75" outlineLevel="1" thickBot="1">
      <c r="B49" s="146"/>
      <c r="C49" s="25"/>
      <c r="D49" s="3" t="str">
        <f>IF(Table32221[[#This Row],[Course]]= "","",IFERROR(VLOOKUP(Table32221[[#This Row],[Course]],COURSELIST[],2,FALSE),"Course Not Found!"))</f>
        <v/>
      </c>
      <c r="E49" s="3" t="str">
        <f>IF(Table32221[[#This Row],[Course]]= "","",IFERROR(VLOOKUP(Table32221[[#This Row],[Course]],COURSELIST[],3,FALSE),""))</f>
        <v/>
      </c>
      <c r="F49" s="3" t="str">
        <f>IF(Table32221[[#This Row],[Course]]= "","",IFERROR(VLOOKUP(Table32221[[#This Row],[Course]],COURSELIST[],4,FALSE),""))</f>
        <v/>
      </c>
      <c r="H49" s="3" t="str">
        <f>IF(Table32221[[#This Row],[Course]]= "","",IFERROR(VLOOKUP(Table32221[[#This Row],[Course]],COURSELIST[],6,FALSE),""))</f>
        <v/>
      </c>
      <c r="I49" s="3" t="str">
        <f>IF(Table32221[[#This Row],[Course]]= "","",IFERROR(VLOOKUP(Table32221[[#This Row],[Course]],COURSELIST[],7,FALSE),""))</f>
        <v/>
      </c>
      <c r="J49" s="3" t="str">
        <f>IF(Table32221[[#This Row],[Course]]= "","",IFERROR(VLOOKUP(Table32221[[#This Row],[Course]],COURSELIST[],8,FALSE),""))</f>
        <v/>
      </c>
      <c r="L49" s="146"/>
      <c r="M49" s="25"/>
      <c r="N49" s="3" t="str">
        <f>IF(Table143344[[#This Row],[Course]]= "","",IFERROR(VLOOKUP(Table143344[[#This Row],[Course]],COURSELIST[],2,FALSE),"Course Not Found!"))</f>
        <v/>
      </c>
      <c r="O49" s="3" t="str">
        <f>IF(Table143344[[#This Row],[Course]]= "","",IFERROR(VLOOKUP(Table143344[[#This Row],[Course]],COURSELIST[],3,FALSE),""))</f>
        <v/>
      </c>
      <c r="P49" s="3" t="str">
        <f>IF(Table143344[[#This Row],[Course]]= "","",IFERROR(VLOOKUP(Table143344[[#This Row],[Course]],COURSELIST[],4,FALSE),""))</f>
        <v/>
      </c>
      <c r="R49" s="3" t="str">
        <f>IF(Table143344[[#This Row],[Course]]= "","",IFERROR(VLOOKUP(Table143344[[#This Row],[Course]],COURSELIST[],6,FALSE),""))</f>
        <v/>
      </c>
      <c r="S49" s="3" t="str">
        <f>IF(Table143344[[#This Row],[Course]]= "","",IFERROR(VLOOKUP(Table143344[[#This Row],[Course]],COURSELIST[],7,FALSE),""))</f>
        <v/>
      </c>
      <c r="T49" s="3" t="str">
        <f>IF(Table143344[[#This Row],[Course]]= "","",IFERROR(VLOOKUP(Table143344[[#This Row],[Course]],COURSELIST[],8,FALSE),""))</f>
        <v/>
      </c>
      <c r="V49" s="146"/>
      <c r="W49" s="25"/>
      <c r="X49" s="3" t="str">
        <f>IF(Table92839[[#This Row],[Course]]= "","",IFERROR(VLOOKUP(Table92839[[#This Row],[Course]],COURSELIST[],2,FALSE),"Course Not Found!"))</f>
        <v/>
      </c>
      <c r="Y49" s="3" t="str">
        <f>IF(Table92839[[#This Row],[Course]]= "","",IFERROR(VLOOKUP(Table92839[[#This Row],[Course]],COURSELIST[],3,FALSE),""))</f>
        <v/>
      </c>
      <c r="Z49" s="3" t="str">
        <f>IF(Table92839[[#This Row],[Course]]= "","",IFERROR(VLOOKUP(Table92839[[#This Row],[Course]],COURSELIST[],4,FALSE),""))</f>
        <v/>
      </c>
      <c r="AB49" s="3" t="str">
        <f>IF(Table92839[[#This Row],[Course]]= "","",IFERROR(VLOOKUP(Table92839[[#This Row],[Course]],COURSELIST[],6,FALSE),""))</f>
        <v/>
      </c>
      <c r="AC49" s="3" t="str">
        <f>IF(Table92839[[#This Row],[Course]]= "","",IFERROR(VLOOKUP(Table92839[[#This Row],[Course]],COURSELIST[],7,FALSE),""))</f>
        <v/>
      </c>
      <c r="AD49" s="3" t="str">
        <f>IF(Table92839[[#This Row],[Course]]= "","",IFERROR(VLOOKUP(Table92839[[#This Row],[Course]],COURSELIST[],8,FALSE),""))</f>
        <v/>
      </c>
      <c r="AF49" s="146"/>
      <c r="AG49" s="16"/>
      <c r="AH49" s="3" t="str">
        <f>IF(Table928394952[[#This Row],[Course]]= "","",IFERROR(VLOOKUP(Table928394952[[#This Row],[Course]],COURSELIST[],2,FALSE),"Course Not Found!"))</f>
        <v/>
      </c>
      <c r="AI49" s="3" t="str">
        <f>IF(Table928394952[[#This Row],[Course]]= "","",IFERROR(VLOOKUP(Table928394952[[#This Row],[Course]],COURSELIST[],3,FALSE),""))</f>
        <v/>
      </c>
      <c r="AJ49" s="3" t="str">
        <f>IF(Table928394952[[#This Row],[Course]]= "","",IFERROR(VLOOKUP(Table928394952[[#This Row],[Course]],COURSELIST[],4,FALSE),""))</f>
        <v/>
      </c>
      <c r="AL49" s="3" t="str">
        <f>IF(Table928394952[[#This Row],[Course]]= "","",IFERROR(VLOOKUP(Table928394952[[#This Row],[Course]],COURSELIST[],6,FALSE),""))</f>
        <v/>
      </c>
      <c r="AM49" s="3" t="str">
        <f>IF(Table928394952[[#This Row],[Course]]= "","",IFERROR(VLOOKUP(Table928394952[[#This Row],[Course]],COURSELIST[],7,FALSE),""))</f>
        <v/>
      </c>
      <c r="AN49" s="3" t="str">
        <f>IF(Table928394952[[#This Row],[Course]]= "","",IFERROR(VLOOKUP(Table928394952[[#This Row],[Course]],COURSELIST[],8,FALSE),""))</f>
        <v/>
      </c>
    </row>
    <row r="50" spans="1:40" ht="15.75" outlineLevel="1" thickBot="1">
      <c r="B50" s="146"/>
      <c r="C50" s="16"/>
      <c r="D50" s="3" t="str">
        <f>IF(Table32221[[#This Row],[Course]]= "","",IFERROR(VLOOKUP(Table32221[[#This Row],[Course]],COURSELIST[],2,FALSE),"Course Not Found!"))</f>
        <v/>
      </c>
      <c r="E50" s="3" t="str">
        <f>IF(Table32221[[#This Row],[Course]]= "","",IFERROR(VLOOKUP(Table32221[[#This Row],[Course]],COURSELIST[],3,FALSE),""))</f>
        <v/>
      </c>
      <c r="F50" s="3" t="str">
        <f>IF(Table32221[[#This Row],[Course]]= "","",IFERROR(VLOOKUP(Table32221[[#This Row],[Course]],COURSELIST[],4,FALSE),""))</f>
        <v/>
      </c>
      <c r="H50" s="3" t="str">
        <f>IF(Table32221[[#This Row],[Course]]= "","",IFERROR(VLOOKUP(Table32221[[#This Row],[Course]],COURSELIST[],6,FALSE),""))</f>
        <v/>
      </c>
      <c r="I50" s="3" t="str">
        <f>IF(Table32221[[#This Row],[Course]]= "","",IFERROR(VLOOKUP(Table32221[[#This Row],[Course]],COURSELIST[],7,FALSE),""))</f>
        <v/>
      </c>
      <c r="J50" s="3" t="str">
        <f>IF(Table32221[[#This Row],[Course]]= "","",IFERROR(VLOOKUP(Table32221[[#This Row],[Course]],COURSELIST[],8,FALSE),""))</f>
        <v/>
      </c>
      <c r="L50" s="146"/>
      <c r="M50" s="25"/>
      <c r="N50" s="3" t="str">
        <f>IF(Table143344[[#This Row],[Course]]= "","",IFERROR(VLOOKUP(Table143344[[#This Row],[Course]],COURSELIST[],2,FALSE),"Course Not Found!"))</f>
        <v/>
      </c>
      <c r="O50" s="3" t="str">
        <f>IF(Table143344[[#This Row],[Course]]= "","",IFERROR(VLOOKUP(Table143344[[#This Row],[Course]],COURSELIST[],3,FALSE),""))</f>
        <v/>
      </c>
      <c r="P50" s="3" t="str">
        <f>IF(Table143344[[#This Row],[Course]]= "","",IFERROR(VLOOKUP(Table143344[[#This Row],[Course]],COURSELIST[],4,FALSE),""))</f>
        <v/>
      </c>
      <c r="R50" s="3" t="str">
        <f>IF(Table143344[[#This Row],[Course]]= "","",IFERROR(VLOOKUP(Table143344[[#This Row],[Course]],COURSELIST[],6,FALSE),""))</f>
        <v/>
      </c>
      <c r="S50" s="3" t="str">
        <f>IF(Table143344[[#This Row],[Course]]= "","",IFERROR(VLOOKUP(Table143344[[#This Row],[Course]],COURSELIST[],7,FALSE),""))</f>
        <v/>
      </c>
      <c r="T50" s="3" t="str">
        <f>IF(Table143344[[#This Row],[Course]]= "","",IFERROR(VLOOKUP(Table143344[[#This Row],[Course]],COURSELIST[],8,FALSE),""))</f>
        <v/>
      </c>
      <c r="V50" s="146"/>
      <c r="W50" s="25"/>
      <c r="X50" s="3" t="str">
        <f>IF(Table92839[[#This Row],[Course]]= "","",IFERROR(VLOOKUP(Table92839[[#This Row],[Course]],COURSELIST[],2,FALSE),"Course Not Found!"))</f>
        <v/>
      </c>
      <c r="Y50" s="3" t="str">
        <f>IF(Table92839[[#This Row],[Course]]= "","",IFERROR(VLOOKUP(Table92839[[#This Row],[Course]],COURSELIST[],3,FALSE),""))</f>
        <v/>
      </c>
      <c r="Z50" s="3" t="str">
        <f>IF(Table92839[[#This Row],[Course]]= "","",IFERROR(VLOOKUP(Table92839[[#This Row],[Course]],COURSELIST[],4,FALSE),""))</f>
        <v/>
      </c>
      <c r="AB50" s="3" t="str">
        <f>IF(Table92839[[#This Row],[Course]]= "","",IFERROR(VLOOKUP(Table92839[[#This Row],[Course]],COURSELIST[],6,FALSE),""))</f>
        <v/>
      </c>
      <c r="AC50" s="3" t="str">
        <f>IF(Table92839[[#This Row],[Course]]= "","",IFERROR(VLOOKUP(Table92839[[#This Row],[Course]],COURSELIST[],7,FALSE),""))</f>
        <v/>
      </c>
      <c r="AD50" s="3" t="str">
        <f>IF(Table92839[[#This Row],[Course]]= "","",IFERROR(VLOOKUP(Table92839[[#This Row],[Course]],COURSELIST[],8,FALSE),""))</f>
        <v/>
      </c>
      <c r="AF50" s="146"/>
      <c r="AG50" s="16"/>
      <c r="AH50" s="3" t="str">
        <f>IF(Table928394952[[#This Row],[Course]]= "","",IFERROR(VLOOKUP(Table928394952[[#This Row],[Course]],COURSELIST[],2,FALSE),"Course Not Found!"))</f>
        <v/>
      </c>
      <c r="AI50" s="3" t="str">
        <f>IF(Table928394952[[#This Row],[Course]]= "","",IFERROR(VLOOKUP(Table928394952[[#This Row],[Course]],COURSELIST[],3,FALSE),""))</f>
        <v/>
      </c>
      <c r="AJ50" s="3" t="str">
        <f>IF(Table928394952[[#This Row],[Course]]= "","",IFERROR(VLOOKUP(Table928394952[[#This Row],[Course]],COURSELIST[],4,FALSE),""))</f>
        <v/>
      </c>
      <c r="AL50" s="3" t="str">
        <f>IF(Table928394952[[#This Row],[Course]]= "","",IFERROR(VLOOKUP(Table928394952[[#This Row],[Course]],COURSELIST[],6,FALSE),""))</f>
        <v/>
      </c>
      <c r="AM50" s="3" t="str">
        <f>IF(Table928394952[[#This Row],[Course]]= "","",IFERROR(VLOOKUP(Table928394952[[#This Row],[Course]],COURSELIST[],7,FALSE),""))</f>
        <v/>
      </c>
      <c r="AN50" s="3" t="str">
        <f>IF(Table928394952[[#This Row],[Course]]= "","",IFERROR(VLOOKUP(Table928394952[[#This Row],[Course]],COURSELIST[],8,FALSE),""))</f>
        <v/>
      </c>
    </row>
    <row r="51" spans="1:40" ht="15.75" outlineLevel="1" thickBot="1">
      <c r="B51" s="146"/>
      <c r="C51" s="25"/>
      <c r="D51" s="3" t="str">
        <f>IF(Table32221[[#This Row],[Course]]= "","",IFERROR(VLOOKUP(Table32221[[#This Row],[Course]],COURSELIST[],2,FALSE),"Course Not Found!"))</f>
        <v/>
      </c>
      <c r="E51" s="3" t="str">
        <f>IF(Table32221[[#This Row],[Course]]= "","",IFERROR(VLOOKUP(Table32221[[#This Row],[Course]],COURSELIST[],3,FALSE),""))</f>
        <v/>
      </c>
      <c r="F51" s="3" t="str">
        <f>IF(Table32221[[#This Row],[Course]]= "","",IFERROR(VLOOKUP(Table32221[[#This Row],[Course]],COURSELIST[],4,FALSE),""))</f>
        <v/>
      </c>
      <c r="H51" s="3" t="str">
        <f>IF(Table32221[[#This Row],[Course]]= "","",IFERROR(VLOOKUP(Table32221[[#This Row],[Course]],COURSELIST[],6,FALSE),""))</f>
        <v/>
      </c>
      <c r="I51" s="3" t="str">
        <f>IF(Table32221[[#This Row],[Course]]= "","",IFERROR(VLOOKUP(Table32221[[#This Row],[Course]],COURSELIST[],7,FALSE),""))</f>
        <v/>
      </c>
      <c r="J51" s="3" t="str">
        <f>IF(Table32221[[#This Row],[Course]]= "","",IFERROR(VLOOKUP(Table32221[[#This Row],[Course]],COURSELIST[],8,FALSE),""))</f>
        <v/>
      </c>
      <c r="L51" s="146"/>
      <c r="M51" s="17"/>
      <c r="N51" s="3" t="str">
        <f>IF(Table143344[[#This Row],[Course]]= "","",IFERROR(VLOOKUP(Table143344[[#This Row],[Course]],COURSELIST[],2,FALSE),"Course Not Found!"))</f>
        <v/>
      </c>
      <c r="O51" s="3" t="str">
        <f>IF(Table143344[[#This Row],[Course]]= "","",IFERROR(VLOOKUP(Table143344[[#This Row],[Course]],COURSELIST[],3,FALSE),""))</f>
        <v/>
      </c>
      <c r="P51" s="3" t="str">
        <f>IF(Table143344[[#This Row],[Course]]= "","",IFERROR(VLOOKUP(Table143344[[#This Row],[Course]],COURSELIST[],4,FALSE),""))</f>
        <v/>
      </c>
      <c r="R51" s="3" t="str">
        <f>IF(Table143344[[#This Row],[Course]]= "","",IFERROR(VLOOKUP(Table143344[[#This Row],[Course]],COURSELIST[],6,FALSE),""))</f>
        <v/>
      </c>
      <c r="S51" s="3" t="str">
        <f>IF(Table143344[[#This Row],[Course]]= "","",IFERROR(VLOOKUP(Table143344[[#This Row],[Course]],COURSELIST[],7,FALSE),""))</f>
        <v/>
      </c>
      <c r="T51" s="5" t="str">
        <f>IF(Table143344[[#This Row],[Course]]= "","",IFERROR(VLOOKUP(Table143344[[#This Row],[Course]],COURSELIST[],8,FALSE),""))</f>
        <v/>
      </c>
      <c r="V51" s="146"/>
      <c r="W51" s="16"/>
      <c r="X51" s="3" t="str">
        <f>IF(Table92839[[#This Row],[Course]]= "","",IFERROR(VLOOKUP(Table92839[[#This Row],[Course]],COURSELIST[],2,FALSE),"Course Not Found!"))</f>
        <v/>
      </c>
      <c r="Y51" s="3" t="str">
        <f>IF(Table92839[[#This Row],[Course]]= "","",IFERROR(VLOOKUP(Table92839[[#This Row],[Course]],COURSELIST[],3,FALSE),""))</f>
        <v/>
      </c>
      <c r="Z51" s="3" t="str">
        <f>IF(Table92839[[#This Row],[Course]]= "","",IFERROR(VLOOKUP(Table92839[[#This Row],[Course]],COURSELIST[],4,FALSE),""))</f>
        <v/>
      </c>
      <c r="AB51" s="3" t="str">
        <f>IF(Table92839[[#This Row],[Course]]= "","",IFERROR(VLOOKUP(Table92839[[#This Row],[Course]],COURSELIST[],6,FALSE),""))</f>
        <v/>
      </c>
      <c r="AC51" s="3" t="str">
        <f>IF(Table92839[[#This Row],[Course]]= "","",IFERROR(VLOOKUP(Table92839[[#This Row],[Course]],COURSELIST[],7,FALSE),""))</f>
        <v/>
      </c>
      <c r="AD51" s="3" t="str">
        <f>IF(Table92839[[#This Row],[Course]]= "","",IFERROR(VLOOKUP(Table92839[[#This Row],[Course]],COURSELIST[],8,FALSE),""))</f>
        <v/>
      </c>
      <c r="AF51" s="146"/>
      <c r="AG51" s="25"/>
      <c r="AH51" s="3" t="str">
        <f>IF(Table928394952[[#This Row],[Course]]= "","",IFERROR(VLOOKUP(Table928394952[[#This Row],[Course]],COURSELIST[],2,FALSE),"Course Not Found!"))</f>
        <v/>
      </c>
      <c r="AI51" s="3" t="str">
        <f>IF(Table928394952[[#This Row],[Course]]= "","",IFERROR(VLOOKUP(Table928394952[[#This Row],[Course]],COURSELIST[],3,FALSE),""))</f>
        <v/>
      </c>
      <c r="AJ51" s="3" t="str">
        <f>IF(Table928394952[[#This Row],[Course]]= "","",IFERROR(VLOOKUP(Table928394952[[#This Row],[Course]],COURSELIST[],4,FALSE),""))</f>
        <v/>
      </c>
      <c r="AL51" s="3" t="str">
        <f>IF(Table928394952[[#This Row],[Course]]= "","",IFERROR(VLOOKUP(Table928394952[[#This Row],[Course]],COURSELIST[],6,FALSE),""))</f>
        <v/>
      </c>
      <c r="AM51" s="3" t="str">
        <f>IF(Table928394952[[#This Row],[Course]]= "","",IFERROR(VLOOKUP(Table928394952[[#This Row],[Course]],COURSELIST[],7,FALSE),""))</f>
        <v/>
      </c>
      <c r="AN51" s="3" t="str">
        <f>IF(Table928394952[[#This Row],[Course]]= "","",IFERROR(VLOOKUP(Table928394952[[#This Row],[Course]],COURSELIST[],8,FALSE),""))</f>
        <v/>
      </c>
    </row>
    <row r="52" spans="1:40" ht="15.75" outlineLevel="1" thickBot="1">
      <c r="B52" s="146"/>
      <c r="C52" s="36"/>
      <c r="D52" s="3" t="str">
        <f>IF(Table32221[[#This Row],[Course]]= "","",IFERROR(VLOOKUP(Table32221[[#This Row],[Course]],COURSELIST[],2,FALSE),"Course Not Found!"))</f>
        <v/>
      </c>
      <c r="E52" s="3" t="str">
        <f>IF(Table32221[[#This Row],[Course]]= "","",IFERROR(VLOOKUP(Table32221[[#This Row],[Course]],COURSELIST[],3,FALSE),""))</f>
        <v/>
      </c>
      <c r="F52" s="3" t="str">
        <f>IF(Table32221[[#This Row],[Course]]= "","",IFERROR(VLOOKUP(Table32221[[#This Row],[Course]],COURSELIST[],4,FALSE),""))</f>
        <v/>
      </c>
      <c r="H52" s="3" t="str">
        <f>IF(Table32221[[#This Row],[Course]]= "","",IFERROR(VLOOKUP(Table32221[[#This Row],[Course]],COURSELIST[],6,FALSE),""))</f>
        <v/>
      </c>
      <c r="I52" s="3" t="str">
        <f>IF(Table32221[[#This Row],[Course]]= "","",IFERROR(VLOOKUP(Table32221[[#This Row],[Course]],COURSELIST[],7,FALSE),""))</f>
        <v/>
      </c>
      <c r="J52" s="3" t="str">
        <f>IF(Table32221[[#This Row],[Course]]= "","",IFERROR(VLOOKUP(Table32221[[#This Row],[Course]],COURSELIST[],8,FALSE),""))</f>
        <v/>
      </c>
      <c r="L52" s="146"/>
      <c r="M52" s="16"/>
      <c r="N52" s="3" t="str">
        <f>IF(Table143344[[#This Row],[Course]]= "","",IFERROR(VLOOKUP(Table143344[[#This Row],[Course]],COURSELIST[],2,FALSE),"Course Not Found!"))</f>
        <v/>
      </c>
      <c r="O52" s="3" t="str">
        <f>IF(Table143344[[#This Row],[Course]]= "","",IFERROR(VLOOKUP(Table143344[[#This Row],[Course]],COURSELIST[],3,FALSE),""))</f>
        <v/>
      </c>
      <c r="P52" s="3" t="str">
        <f>IF(Table143344[[#This Row],[Course]]= "","",IFERROR(VLOOKUP(Table143344[[#This Row],[Course]],COURSELIST[],4,FALSE),""))</f>
        <v/>
      </c>
      <c r="R52" s="3" t="str">
        <f>IF(Table143344[[#This Row],[Course]]= "","",IFERROR(VLOOKUP(Table143344[[#This Row],[Course]],COURSELIST[],6,FALSE),""))</f>
        <v/>
      </c>
      <c r="S52" s="3" t="str">
        <f>IF(Table143344[[#This Row],[Course]]= "","",IFERROR(VLOOKUP(Table143344[[#This Row],[Course]],COURSELIST[],7,FALSE),""))</f>
        <v/>
      </c>
      <c r="T52" s="3" t="str">
        <f>IF(Table143344[[#This Row],[Course]]= "","",IFERROR(VLOOKUP(Table143344[[#This Row],[Course]],COURSELIST[],8,FALSE),""))</f>
        <v/>
      </c>
      <c r="V52" s="146"/>
      <c r="W52" s="16"/>
      <c r="X52" s="3" t="str">
        <f>IF(Table92839[[#This Row],[Course]]= "","",IFERROR(VLOOKUP(Table92839[[#This Row],[Course]],COURSELIST[],2,FALSE),"Course Not Found!"))</f>
        <v/>
      </c>
      <c r="Y52" s="3" t="str">
        <f>IF(Table92839[[#This Row],[Course]]= "","",IFERROR(VLOOKUP(Table92839[[#This Row],[Course]],COURSELIST[],3,FALSE),""))</f>
        <v/>
      </c>
      <c r="Z52" s="3" t="str">
        <f>IF(Table92839[[#This Row],[Course]]= "","",IFERROR(VLOOKUP(Table92839[[#This Row],[Course]],COURSELIST[],4,FALSE),""))</f>
        <v/>
      </c>
      <c r="AB52" s="3" t="str">
        <f>IF(Table92839[[#This Row],[Course]]= "","",IFERROR(VLOOKUP(Table92839[[#This Row],[Course]],COURSELIST[],6,FALSE),""))</f>
        <v/>
      </c>
      <c r="AC52" s="3" t="str">
        <f>IF(Table92839[[#This Row],[Course]]= "","",IFERROR(VLOOKUP(Table92839[[#This Row],[Course]],COURSELIST[],7,FALSE),""))</f>
        <v/>
      </c>
      <c r="AD52" s="3" t="str">
        <f>IF(Table92839[[#This Row],[Course]]= "","",IFERROR(VLOOKUP(Table92839[[#This Row],[Course]],COURSELIST[],8,FALSE),""))</f>
        <v/>
      </c>
      <c r="AF52" s="146"/>
      <c r="AG52" s="25"/>
      <c r="AH52" s="3" t="str">
        <f>IF(Table928394952[[#This Row],[Course]]= "","",IFERROR(VLOOKUP(Table928394952[[#This Row],[Course]],COURSELIST[],2,FALSE),"Course Not Found!"))</f>
        <v/>
      </c>
      <c r="AI52" s="3" t="str">
        <f>IF(Table928394952[[#This Row],[Course]]= "","",IFERROR(VLOOKUP(Table928394952[[#This Row],[Course]],COURSELIST[],3,FALSE),""))</f>
        <v/>
      </c>
      <c r="AJ52" s="3" t="str">
        <f>IF(Table928394952[[#This Row],[Course]]= "","",IFERROR(VLOOKUP(Table928394952[[#This Row],[Course]],COURSELIST[],4,FALSE),""))</f>
        <v/>
      </c>
      <c r="AL52" s="3" t="str">
        <f>IF(Table928394952[[#This Row],[Course]]= "","",IFERROR(VLOOKUP(Table928394952[[#This Row],[Course]],COURSELIST[],6,FALSE),""))</f>
        <v/>
      </c>
      <c r="AM52" s="3" t="str">
        <f>IF(Table928394952[[#This Row],[Course]]= "","",IFERROR(VLOOKUP(Table928394952[[#This Row],[Course]],COURSELIST[],7,FALSE),""))</f>
        <v/>
      </c>
      <c r="AN52" s="3" t="str">
        <f>IF(Table928394952[[#This Row],[Course]]= "","",IFERROR(VLOOKUP(Table928394952[[#This Row],[Course]],COURSELIST[],8,FALSE),""))</f>
        <v/>
      </c>
    </row>
    <row r="53" spans="1:40" ht="15.75" outlineLevel="1" thickBot="1">
      <c r="B53" s="146"/>
      <c r="C53" s="37"/>
      <c r="D53" s="3" t="str">
        <f>IF(Table32221[[#This Row],[Course]]= "","",IFERROR(VLOOKUP(Table32221[[#This Row],[Course]],COURSELIST[],2,FALSE),"Course Not Found!"))</f>
        <v/>
      </c>
      <c r="E53" s="3" t="str">
        <f>IF(Table32221[[#This Row],[Course]]= "","",IFERROR(VLOOKUP(Table32221[[#This Row],[Course]],COURSELIST[],3,FALSE),""))</f>
        <v/>
      </c>
      <c r="F53" s="3" t="str">
        <f>IF(Table32221[[#This Row],[Course]]= "","",IFERROR(VLOOKUP(Table32221[[#This Row],[Course]],COURSELIST[],4,FALSE),""))</f>
        <v/>
      </c>
      <c r="H53" s="3" t="str">
        <f>IF(Table32221[[#This Row],[Course]]= "","",IFERROR(VLOOKUP(Table32221[[#This Row],[Course]],COURSELIST[],6,FALSE),""))</f>
        <v/>
      </c>
      <c r="I53" s="3" t="str">
        <f>IF(Table32221[[#This Row],[Course]]= "","",IFERROR(VLOOKUP(Table32221[[#This Row],[Course]],COURSELIST[],7,FALSE),""))</f>
        <v/>
      </c>
      <c r="J53" s="3" t="str">
        <f>IF(Table32221[[#This Row],[Course]]= "","",IFERROR(VLOOKUP(Table32221[[#This Row],[Course]],COURSELIST[],8,FALSE),""))</f>
        <v/>
      </c>
      <c r="L53" s="146"/>
      <c r="M53" s="28"/>
      <c r="N53" s="3" t="str">
        <f>IF(Table143344[[#This Row],[Course]]= "","",IFERROR(VLOOKUP(Table143344[[#This Row],[Course]],COURSELIST[],2,FALSE),"Course Not Found!"))</f>
        <v/>
      </c>
      <c r="O53" s="3" t="str">
        <f>IF(Table143344[[#This Row],[Course]]= "","",IFERROR(VLOOKUP(Table143344[[#This Row],[Course]],COURSELIST[],3,FALSE),""))</f>
        <v/>
      </c>
      <c r="P53" s="3" t="str">
        <f>IF(Table143344[[#This Row],[Course]]= "","",IFERROR(VLOOKUP(Table143344[[#This Row],[Course]],COURSELIST[],4,FALSE),""))</f>
        <v/>
      </c>
      <c r="R53" s="3" t="str">
        <f>IF(Table143344[[#This Row],[Course]]= "","",IFERROR(VLOOKUP(Table143344[[#This Row],[Course]],COURSELIST[],6,FALSE),""))</f>
        <v/>
      </c>
      <c r="S53" s="3" t="str">
        <f>IF(Table143344[[#This Row],[Course]]= "","",IFERROR(VLOOKUP(Table143344[[#This Row],[Course]],COURSELIST[],7,FALSE),""))</f>
        <v/>
      </c>
      <c r="T53" s="3" t="str">
        <f>IF(Table143344[[#This Row],[Course]]= "","",IFERROR(VLOOKUP(Table143344[[#This Row],[Course]],COURSELIST[],8,FALSE),""))</f>
        <v/>
      </c>
      <c r="V53" s="146"/>
      <c r="W53" s="28"/>
      <c r="X53" s="3" t="str">
        <f>IF(Table92839[[#This Row],[Course]]= "","",IFERROR(VLOOKUP(Table92839[[#This Row],[Course]],COURSELIST[],2,FALSE),"Course Not Found!"))</f>
        <v/>
      </c>
      <c r="Y53" s="3" t="str">
        <f>IF(Table92839[[#This Row],[Course]]= "","",IFERROR(VLOOKUP(Table92839[[#This Row],[Course]],COURSELIST[],3,FALSE),""))</f>
        <v/>
      </c>
      <c r="Z53" s="3" t="str">
        <f>IF(Table92839[[#This Row],[Course]]= "","",IFERROR(VLOOKUP(Table92839[[#This Row],[Course]],COURSELIST[],4,FALSE),""))</f>
        <v/>
      </c>
      <c r="AB53" s="3" t="str">
        <f>IF(Table92839[[#This Row],[Course]]= "","",IFERROR(VLOOKUP(Table92839[[#This Row],[Course]],COURSELIST[],6,FALSE),""))</f>
        <v/>
      </c>
      <c r="AC53" s="3" t="str">
        <f>IF(Table92839[[#This Row],[Course]]= "","",IFERROR(VLOOKUP(Table92839[[#This Row],[Course]],COURSELIST[],7,FALSE),""))</f>
        <v/>
      </c>
      <c r="AD53" s="3" t="str">
        <f>IF(Table92839[[#This Row],[Course]]= "","",IFERROR(VLOOKUP(Table92839[[#This Row],[Course]],COURSELIST[],8,FALSE),""))</f>
        <v/>
      </c>
      <c r="AF53" s="146"/>
      <c r="AG53" s="28"/>
      <c r="AH53" s="3" t="str">
        <f>IF(Table928394952[[#This Row],[Course]]= "","",IFERROR(VLOOKUP(Table928394952[[#This Row],[Course]],COURSELIST[],2,FALSE),"Course Not Found!"))</f>
        <v/>
      </c>
      <c r="AI53" s="3" t="str">
        <f>IF(Table928394952[[#This Row],[Course]]= "","",IFERROR(VLOOKUP(Table928394952[[#This Row],[Course]],COURSELIST[],3,FALSE),""))</f>
        <v/>
      </c>
      <c r="AJ53" s="3" t="str">
        <f>IF(Table928394952[[#This Row],[Course]]= "","",IFERROR(VLOOKUP(Table928394952[[#This Row],[Course]],COURSELIST[],4,FALSE),""))</f>
        <v/>
      </c>
      <c r="AL53" s="3" t="str">
        <f>IF(Table928394952[[#This Row],[Course]]= "","",IFERROR(VLOOKUP(Table928394952[[#This Row],[Course]],COURSELIST[],6,FALSE),""))</f>
        <v/>
      </c>
      <c r="AM53" s="3" t="str">
        <f>IF(Table928394952[[#This Row],[Course]]= "","",IFERROR(VLOOKUP(Table928394952[[#This Row],[Course]],COURSELIST[],7,FALSE),""))</f>
        <v/>
      </c>
      <c r="AN53" s="3" t="str">
        <f>IF(Table928394952[[#This Row],[Course]]= "","",IFERROR(VLOOKUP(Table928394952[[#This Row],[Course]],COURSELIST[],8,FALSE),""))</f>
        <v/>
      </c>
    </row>
    <row r="54" spans="1:40" outlineLevel="1">
      <c r="C54" s="19"/>
      <c r="E54" s="3" t="s">
        <v>10</v>
      </c>
      <c r="F54" s="3">
        <f>SUM(F47:F53)</f>
        <v>0</v>
      </c>
      <c r="G54" s="4"/>
      <c r="I54" s="3" t="s">
        <v>27</v>
      </c>
      <c r="J54" s="4">
        <f>SUM(J47:J53)</f>
        <v>0</v>
      </c>
      <c r="O54" s="3" t="s">
        <v>10</v>
      </c>
      <c r="P54" s="3">
        <f>SUM(P47:P53)</f>
        <v>0</v>
      </c>
      <c r="S54" s="3" t="s">
        <v>27</v>
      </c>
      <c r="T54" s="3">
        <f>SUM(T47:T53)</f>
        <v>0</v>
      </c>
      <c r="Y54" s="3" t="s">
        <v>10</v>
      </c>
      <c r="Z54" s="3">
        <f>SUM(Z47:Z53)</f>
        <v>0</v>
      </c>
      <c r="AC54" s="3" t="s">
        <v>27</v>
      </c>
      <c r="AD54" s="3">
        <f>SUM(AD47:AD53)</f>
        <v>0</v>
      </c>
      <c r="AI54" s="3" t="s">
        <v>10</v>
      </c>
      <c r="AJ54" s="3">
        <f>SUM(AJ47:AJ53)</f>
        <v>0</v>
      </c>
      <c r="AM54" s="3" t="s">
        <v>27</v>
      </c>
      <c r="AN54" s="3">
        <f>SUM(AN47:AN53)</f>
        <v>0</v>
      </c>
    </row>
    <row r="55" spans="1:40" outlineLevel="1">
      <c r="C55" s="19"/>
      <c r="E55" s="3" t="s">
        <v>18</v>
      </c>
      <c r="F55" s="3">
        <f>F54+AJ41</f>
        <v>0</v>
      </c>
      <c r="G55" s="4"/>
      <c r="I55" s="3" t="s">
        <v>17</v>
      </c>
      <c r="J55" s="4">
        <f>J54+AN41</f>
        <v>0</v>
      </c>
      <c r="O55" s="3" t="s">
        <v>18</v>
      </c>
      <c r="P55" s="3">
        <f>P54+F55</f>
        <v>0</v>
      </c>
      <c r="S55" s="3" t="s">
        <v>17</v>
      </c>
      <c r="T55" s="3">
        <f>T54+J55</f>
        <v>0</v>
      </c>
      <c r="Y55" s="3" t="s">
        <v>18</v>
      </c>
      <c r="Z55" s="3">
        <f>Z54+P55</f>
        <v>0</v>
      </c>
      <c r="AC55" s="3" t="s">
        <v>17</v>
      </c>
      <c r="AD55" s="3">
        <f>AD54+T55</f>
        <v>0</v>
      </c>
      <c r="AI55" s="3" t="s">
        <v>18</v>
      </c>
      <c r="AJ55" s="3">
        <f>AJ54+Z55</f>
        <v>0</v>
      </c>
      <c r="AM55" s="3" t="s">
        <v>17</v>
      </c>
      <c r="AN55" s="3">
        <f>AN54+AD55</f>
        <v>0</v>
      </c>
    </row>
    <row r="56" spans="1:40" outlineLevel="1">
      <c r="C56" s="19"/>
      <c r="E56" s="5" t="s">
        <v>19</v>
      </c>
      <c r="F56" s="5">
        <f>F54+AJ42</f>
        <v>0</v>
      </c>
      <c r="G56" s="24"/>
      <c r="I56" s="3" t="s">
        <v>14</v>
      </c>
      <c r="J56" s="4" t="e">
        <f>J54/F54</f>
        <v>#DIV/0!</v>
      </c>
      <c r="O56" s="5" t="s">
        <v>19</v>
      </c>
      <c r="P56" s="5">
        <f>P54+F56</f>
        <v>0</v>
      </c>
      <c r="Q56" s="5"/>
      <c r="S56" s="3" t="s">
        <v>14</v>
      </c>
      <c r="T56" s="3" t="e">
        <f>T54/P54</f>
        <v>#DIV/0!</v>
      </c>
      <c r="W56" s="5"/>
      <c r="X56" s="5"/>
      <c r="Y56" s="5" t="s">
        <v>19</v>
      </c>
      <c r="Z56" s="5">
        <f>Z54+P56</f>
        <v>0</v>
      </c>
      <c r="AA56" s="5"/>
      <c r="AC56" s="3" t="s">
        <v>14</v>
      </c>
      <c r="AD56" s="3" t="e">
        <f>AD54/Z54</f>
        <v>#DIV/0!</v>
      </c>
      <c r="AG56" s="5"/>
      <c r="AH56" s="5"/>
      <c r="AI56" s="5" t="s">
        <v>19</v>
      </c>
      <c r="AJ56" s="5">
        <f>AJ54+Z56</f>
        <v>0</v>
      </c>
      <c r="AK56" s="5"/>
      <c r="AM56" s="3" t="s">
        <v>14</v>
      </c>
      <c r="AN56" s="3" t="e">
        <f>AN54/AJ54</f>
        <v>#DIV/0!</v>
      </c>
    </row>
    <row r="57" spans="1:40" ht="21.75" outlineLevel="1" thickBot="1">
      <c r="C57" s="19"/>
      <c r="G57" s="4"/>
      <c r="H57" s="23"/>
      <c r="I57" s="5" t="s">
        <v>16</v>
      </c>
      <c r="J57" s="24" t="e">
        <f>J55/F56</f>
        <v>#DIV/0!</v>
      </c>
      <c r="M57" s="5"/>
      <c r="N57" s="5"/>
      <c r="S57" s="5" t="s">
        <v>16</v>
      </c>
      <c r="T57" s="5" t="e">
        <f>T55/P56</f>
        <v>#DIV/0!</v>
      </c>
      <c r="AC57" s="5" t="s">
        <v>16</v>
      </c>
      <c r="AD57" s="5" t="e">
        <f>AD55/Z56</f>
        <v>#DIV/0!</v>
      </c>
      <c r="AM57" s="5" t="s">
        <v>16</v>
      </c>
      <c r="AN57" s="5" t="e">
        <f>AN55/AJ56</f>
        <v>#DIV/0!</v>
      </c>
    </row>
    <row r="58" spans="1:40" ht="21.75" thickBot="1">
      <c r="A58" s="94" t="s">
        <v>92</v>
      </c>
      <c r="D58" s="38"/>
      <c r="J58" s="23"/>
    </row>
    <row r="59" spans="1:40" ht="23.25" customHeight="1" outlineLevel="1" thickBot="1">
      <c r="B59" s="146" t="s">
        <v>118</v>
      </c>
      <c r="C59" s="140" t="s">
        <v>93</v>
      </c>
      <c r="D59" s="141"/>
      <c r="E59" s="142"/>
      <c r="F59" s="148" t="str">
        <f>GradeStatus(Z55)&amp;"--"&amp;Z55&amp;" Credits "&amp;F70&amp;" In Progress"</f>
        <v>Freshmen--0 Credits 0 In Progress</v>
      </c>
      <c r="G59" s="149"/>
      <c r="H59" s="149"/>
      <c r="I59" s="149"/>
      <c r="J59" s="149"/>
      <c r="L59" s="146" t="s">
        <v>94</v>
      </c>
      <c r="M59" s="143" t="s">
        <v>55</v>
      </c>
      <c r="N59" s="144"/>
      <c r="O59" s="145"/>
      <c r="P59" s="150" t="str">
        <f>GradeStatus(F70)&amp;"--"&amp;F70&amp;" Credits "&amp;P70&amp;" In Progress"</f>
        <v>Freshmen--0 Credits 0 In Progress</v>
      </c>
      <c r="Q59" s="151"/>
      <c r="R59" s="151"/>
      <c r="S59" s="151"/>
      <c r="T59" s="151"/>
      <c r="V59" s="146" t="s">
        <v>95</v>
      </c>
      <c r="W59" s="152" t="s">
        <v>56</v>
      </c>
      <c r="X59" s="153"/>
      <c r="Y59" s="154"/>
      <c r="Z59" s="160" t="str">
        <f>GradeStatus(P70)&amp;"--"&amp;P70&amp;" Credits "&amp;Z70&amp;" In Progress"</f>
        <v>Freshmen--0 Credits 0 In Progress</v>
      </c>
      <c r="AA59" s="161"/>
      <c r="AB59" s="161"/>
      <c r="AC59" s="161"/>
      <c r="AD59" s="161"/>
      <c r="AF59" s="146" t="s">
        <v>96</v>
      </c>
      <c r="AG59" s="155" t="s">
        <v>59</v>
      </c>
      <c r="AH59" s="156"/>
      <c r="AI59" s="157"/>
      <c r="AJ59" s="158" t="str">
        <f>GradeStatus(Z69)&amp;"--"&amp;Z69&amp;" Credits "&amp;AJ69&amp;" In Progress"</f>
        <v>Freshmen--0 Credits 0 In Progress</v>
      </c>
      <c r="AK59" s="159"/>
      <c r="AL59" s="159"/>
      <c r="AM59" s="159"/>
      <c r="AN59" s="159"/>
    </row>
    <row r="60" spans="1:40" ht="15.75" outlineLevel="1" thickBot="1">
      <c r="B60" s="146"/>
      <c r="C60" s="3" t="s">
        <v>20</v>
      </c>
      <c r="D60" s="3" t="s">
        <v>24</v>
      </c>
      <c r="E60" s="3" t="s">
        <v>25</v>
      </c>
      <c r="F60" s="3" t="s">
        <v>10</v>
      </c>
      <c r="G60" s="3" t="s">
        <v>26</v>
      </c>
      <c r="H60" s="3" t="s">
        <v>12</v>
      </c>
      <c r="I60" s="3" t="s">
        <v>36</v>
      </c>
      <c r="J60" s="3" t="s">
        <v>28</v>
      </c>
      <c r="L60" s="146"/>
      <c r="M60" s="3" t="s">
        <v>20</v>
      </c>
      <c r="N60" s="3" t="s">
        <v>24</v>
      </c>
      <c r="O60" s="3" t="s">
        <v>25</v>
      </c>
      <c r="P60" s="3" t="s">
        <v>10</v>
      </c>
      <c r="Q60" s="3" t="s">
        <v>26</v>
      </c>
      <c r="R60" s="3" t="s">
        <v>12</v>
      </c>
      <c r="S60" s="3" t="s">
        <v>36</v>
      </c>
      <c r="T60" s="3" t="s">
        <v>28</v>
      </c>
      <c r="V60" s="146"/>
      <c r="W60" s="3" t="s">
        <v>20</v>
      </c>
      <c r="X60" s="3" t="s">
        <v>24</v>
      </c>
      <c r="Y60" s="3" t="s">
        <v>25</v>
      </c>
      <c r="Z60" s="3" t="s">
        <v>10</v>
      </c>
      <c r="AA60" s="3" t="s">
        <v>26</v>
      </c>
      <c r="AB60" s="3" t="s">
        <v>12</v>
      </c>
      <c r="AC60" s="3" t="s">
        <v>36</v>
      </c>
      <c r="AD60" s="3" t="s">
        <v>28</v>
      </c>
      <c r="AF60" s="146"/>
      <c r="AG60" s="3" t="s">
        <v>20</v>
      </c>
      <c r="AH60" s="3" t="s">
        <v>24</v>
      </c>
      <c r="AI60" s="3" t="s">
        <v>25</v>
      </c>
      <c r="AJ60" s="3" t="s">
        <v>10</v>
      </c>
      <c r="AK60" s="3" t="s">
        <v>26</v>
      </c>
      <c r="AL60" s="3" t="s">
        <v>12</v>
      </c>
      <c r="AM60" s="3" t="s">
        <v>36</v>
      </c>
      <c r="AN60" s="3" t="s">
        <v>28</v>
      </c>
    </row>
    <row r="61" spans="1:40" ht="15.75" outlineLevel="1" thickBot="1">
      <c r="B61" s="146"/>
      <c r="C61" s="25"/>
      <c r="D61" s="3" t="str">
        <f>IF(Table3222148[[#This Row],[Course]]= "","",IFERROR(VLOOKUP(Table3222148[[#This Row],[Course]],COURSELIST[],2,FALSE),"Course Not Found!"))</f>
        <v/>
      </c>
      <c r="E61" s="3" t="str">
        <f>IF(Table3222148[[#This Row],[Course]]= "","",IFERROR(VLOOKUP(Table3222148[[#This Row],[Course]],COURSELIST[],3,FALSE),""))</f>
        <v/>
      </c>
      <c r="F61" s="3" t="str">
        <f>IF(Table3222148[[#This Row],[Course]]= "","",IFERROR(VLOOKUP(Table3222148[[#This Row],[Course]],COURSELIST[],4,FALSE),""))</f>
        <v/>
      </c>
      <c r="H61" s="3" t="str">
        <f>IF(Table3222148[[#This Row],[Course]]= "","",IFERROR(VLOOKUP(Table3222148[[#This Row],[Course]],COURSELIST[],6,FALSE),""))</f>
        <v/>
      </c>
      <c r="I61" s="3" t="str">
        <f>IF(Table3222148[[#This Row],[Course]]= "","",IFERROR(VLOOKUP(Table3222148[[#This Row],[Course]],COURSELIST[],7,FALSE),""))</f>
        <v/>
      </c>
      <c r="J61" s="3" t="str">
        <f>IF(Table3222148[[#This Row],[Course]]= "","",IFERROR(VLOOKUP(Table3222148[[#This Row],[Course]],COURSELIST[],8,FALSE),""))</f>
        <v/>
      </c>
      <c r="L61" s="146"/>
      <c r="M61" s="27"/>
      <c r="N61" s="3" t="str">
        <f>IF(Table14334450[[#This Row],[Course]]= "","",IFERROR(VLOOKUP(Table14334450[[#This Row],[Course]],COURSELIST[],2,FALSE),"Course Not Found!"))</f>
        <v/>
      </c>
      <c r="O61" s="3" t="str">
        <f>IF(Table14334450[[#This Row],[Course]]= "","",IFERROR(VLOOKUP(Table14334450[[#This Row],[Course]],COURSELIST[],3,FALSE),""))</f>
        <v/>
      </c>
      <c r="P61" s="3" t="str">
        <f>IF(Table14334450[[#This Row],[Course]]= "","",IFERROR(VLOOKUP(Table14334450[[#This Row],[Course]],COURSELIST[],4,FALSE),""))</f>
        <v/>
      </c>
      <c r="R61" s="3" t="str">
        <f>IF(Table14334450[[#This Row],[Course]]= "","",IFERROR(VLOOKUP(Table14334450[[#This Row],[Course]],COURSELIST[],6,FALSE),""))</f>
        <v/>
      </c>
      <c r="S61" s="3" t="str">
        <f>IF(Table14334450[[#This Row],[Course]]= "","",IFERROR(VLOOKUP(Table14334450[[#This Row],[Course]],COURSELIST[],7,FALSE),""))</f>
        <v/>
      </c>
      <c r="T61" s="3" t="str">
        <f>IF(Table14334450[[#This Row],[Course]]= "","",IFERROR(VLOOKUP(Table14334450[[#This Row],[Course]],COURSELIST[],8,FALSE),""))</f>
        <v/>
      </c>
      <c r="V61" s="146"/>
      <c r="W61" s="25"/>
      <c r="X61" s="3" t="str">
        <f>IF(Table9283949[[#This Row],[Course]]= "","",IFERROR(VLOOKUP(Table9283949[[#This Row],[Course]],COURSELIST[],2,FALSE),"Course Not Found!"))</f>
        <v/>
      </c>
      <c r="Y61" s="3" t="str">
        <f>IF(Table9283949[[#This Row],[Course]]= "","",IFERROR(VLOOKUP(Table9283949[[#This Row],[Course]],COURSELIST[],3,FALSE),""))</f>
        <v/>
      </c>
      <c r="Z61" s="3" t="str">
        <f>IF(Table9283949[[#This Row],[Course]]= "","",IFERROR(VLOOKUP(Table9283949[[#This Row],[Course]],COURSELIST[],4,FALSE),""))</f>
        <v/>
      </c>
      <c r="AB61" s="3" t="str">
        <f>IF(Table9283949[[#This Row],[Course]]= "","",IFERROR(VLOOKUP(Table9283949[[#This Row],[Course]],COURSELIST[],6,FALSE),""))</f>
        <v/>
      </c>
      <c r="AC61" s="3" t="str">
        <f>IF(Table9283949[[#This Row],[Course]]= "","",IFERROR(VLOOKUP(Table9283949[[#This Row],[Course]],COURSELIST[],7,FALSE),""))</f>
        <v/>
      </c>
      <c r="AD61" s="3" t="str">
        <f>IF(Table9283949[[#This Row],[Course]]= "","",IFERROR(VLOOKUP(Table9283949[[#This Row],[Course]],COURSELIST[],8,FALSE),""))</f>
        <v/>
      </c>
      <c r="AF61" s="146"/>
      <c r="AG61" s="25"/>
      <c r="AH61" s="3" t="str">
        <f>IF(Table92839495255[[#This Row],[Course]]= "","",IFERROR(VLOOKUP(Table92839495255[[#This Row],[Course]],COURSELIST[],2,FALSE),"Course Not Found!"))</f>
        <v/>
      </c>
      <c r="AI61" s="3" t="str">
        <f>IF(Table92839495255[[#This Row],[Course]]= "","",IFERROR(VLOOKUP(Table92839495255[[#This Row],[Course]],COURSELIST[],3,FALSE),""))</f>
        <v/>
      </c>
      <c r="AJ61" s="3" t="str">
        <f>IF(Table92839495255[[#This Row],[Course]]= "","",IFERROR(VLOOKUP(Table92839495255[[#This Row],[Course]],COURSELIST[],4,FALSE),""))</f>
        <v/>
      </c>
      <c r="AL61" s="3" t="str">
        <f>IF(Table92839495255[[#This Row],[Course]]= "","",IFERROR(VLOOKUP(Table92839495255[[#This Row],[Course]],COURSELIST[],6,FALSE),""))</f>
        <v/>
      </c>
      <c r="AM61" s="3" t="str">
        <f>IF(Table92839495255[[#This Row],[Course]]= "","",IFERROR(VLOOKUP(Table92839495255[[#This Row],[Course]],COURSELIST[],7,FALSE),""))</f>
        <v/>
      </c>
      <c r="AN61" s="3" t="str">
        <f>IF(Table92839495255[[#This Row],[Course]]= "","",IFERROR(VLOOKUP(Table92839495255[[#This Row],[Course]],COURSELIST[],8,FALSE),""))</f>
        <v/>
      </c>
    </row>
    <row r="62" spans="1:40" ht="15.75" outlineLevel="1" thickBot="1">
      <c r="B62" s="146"/>
      <c r="C62" s="25"/>
      <c r="D62" s="3" t="str">
        <f>IF(Table3222148[[#This Row],[Course]]= "","",IFERROR(VLOOKUP(Table3222148[[#This Row],[Course]],COURSELIST[],2,FALSE),"Course Not Found!"))</f>
        <v/>
      </c>
      <c r="E62" s="3" t="str">
        <f>IF(Table3222148[[#This Row],[Course]]= "","",IFERROR(VLOOKUP(Table3222148[[#This Row],[Course]],COURSELIST[],3,FALSE),""))</f>
        <v/>
      </c>
      <c r="F62" s="3" t="str">
        <f>IF(Table3222148[[#This Row],[Course]]= "","",IFERROR(VLOOKUP(Table3222148[[#This Row],[Course]],COURSELIST[],4,FALSE),""))</f>
        <v/>
      </c>
      <c r="H62" s="3" t="str">
        <f>IF(Table3222148[[#This Row],[Course]]= "","",IFERROR(VLOOKUP(Table3222148[[#This Row],[Course]],COURSELIST[],6,FALSE),""))</f>
        <v/>
      </c>
      <c r="I62" s="3" t="str">
        <f>IF(Table3222148[[#This Row],[Course]]= "","",IFERROR(VLOOKUP(Table3222148[[#This Row],[Course]],COURSELIST[],7,FALSE),""))</f>
        <v/>
      </c>
      <c r="J62" s="3" t="str">
        <f>IF(Table3222148[[#This Row],[Course]]= "","",IFERROR(VLOOKUP(Table3222148[[#This Row],[Course]],COURSELIST[],8,FALSE),""))</f>
        <v/>
      </c>
      <c r="K62" s="5"/>
      <c r="L62" s="146"/>
      <c r="M62" s="25"/>
      <c r="N62" s="3" t="str">
        <f>IF(Table14334450[[#This Row],[Course]]= "","",IFERROR(VLOOKUP(Table14334450[[#This Row],[Course]],COURSELIST[],2,FALSE),"Course Not Found!"))</f>
        <v/>
      </c>
      <c r="O62" s="3" t="str">
        <f>IF(Table14334450[[#This Row],[Course]]= "","",IFERROR(VLOOKUP(Table14334450[[#This Row],[Course]],COURSELIST[],3,FALSE),""))</f>
        <v/>
      </c>
      <c r="P62" s="3" t="str">
        <f>IF(Table14334450[[#This Row],[Course]]= "","",IFERROR(VLOOKUP(Table14334450[[#This Row],[Course]],COURSELIST[],4,FALSE),""))</f>
        <v/>
      </c>
      <c r="R62" s="3" t="str">
        <f>IF(Table14334450[[#This Row],[Course]]= "","",IFERROR(VLOOKUP(Table14334450[[#This Row],[Course]],COURSELIST[],6,FALSE),""))</f>
        <v/>
      </c>
      <c r="S62" s="3" t="str">
        <f>IF(Table14334450[[#This Row],[Course]]= "","",IFERROR(VLOOKUP(Table14334450[[#This Row],[Course]],COURSELIST[],7,FALSE),""))</f>
        <v/>
      </c>
      <c r="T62" s="3" t="str">
        <f>IF(Table14334450[[#This Row],[Course]]= "","",IFERROR(VLOOKUP(Table14334450[[#This Row],[Course]],COURSELIST[],8,FALSE),""))</f>
        <v/>
      </c>
      <c r="U62" s="5"/>
      <c r="V62" s="146"/>
      <c r="W62" s="25"/>
      <c r="X62" s="3" t="str">
        <f>IF(Table9283949[[#This Row],[Course]]= "","",IFERROR(VLOOKUP(Table9283949[[#This Row],[Course]],COURSELIST[],2,FALSE),"Course Not Found!"))</f>
        <v/>
      </c>
      <c r="Y62" s="3" t="str">
        <f>IF(Table9283949[[#This Row],[Course]]= "","",IFERROR(VLOOKUP(Table9283949[[#This Row],[Course]],COURSELIST[],3,FALSE),""))</f>
        <v/>
      </c>
      <c r="Z62" s="3" t="str">
        <f>IF(Table9283949[[#This Row],[Course]]= "","",IFERROR(VLOOKUP(Table9283949[[#This Row],[Course]],COURSELIST[],4,FALSE),""))</f>
        <v/>
      </c>
      <c r="AB62" s="3" t="str">
        <f>IF(Table9283949[[#This Row],[Course]]= "","",IFERROR(VLOOKUP(Table9283949[[#This Row],[Course]],COURSELIST[],6,FALSE),""))</f>
        <v/>
      </c>
      <c r="AC62" s="3" t="str">
        <f>IF(Table9283949[[#This Row],[Course]]= "","",IFERROR(VLOOKUP(Table9283949[[#This Row],[Course]],COURSELIST[],7,FALSE),""))</f>
        <v/>
      </c>
      <c r="AD62" s="3" t="str">
        <f>IF(Table9283949[[#This Row],[Course]]= "","",IFERROR(VLOOKUP(Table9283949[[#This Row],[Course]],COURSELIST[],8,FALSE),""))</f>
        <v/>
      </c>
      <c r="AF62" s="146"/>
      <c r="AG62" s="25"/>
      <c r="AH62" s="3" t="str">
        <f>IF(Table92839495255[[#This Row],[Course]]= "","",IFERROR(VLOOKUP(Table92839495255[[#This Row],[Course]],COURSELIST[],2,FALSE),"Course Not Found!"))</f>
        <v/>
      </c>
      <c r="AI62" s="3" t="str">
        <f>IF(Table92839495255[[#This Row],[Course]]= "","",IFERROR(VLOOKUP(Table92839495255[[#This Row],[Course]],COURSELIST[],3,FALSE),""))</f>
        <v/>
      </c>
      <c r="AJ62" s="3" t="str">
        <f>IF(Table92839495255[[#This Row],[Course]]= "","",IFERROR(VLOOKUP(Table92839495255[[#This Row],[Course]],COURSELIST[],4,FALSE),""))</f>
        <v/>
      </c>
      <c r="AL62" s="3" t="str">
        <f>IF(Table92839495255[[#This Row],[Course]]= "","",IFERROR(VLOOKUP(Table92839495255[[#This Row],[Course]],COURSELIST[],6,FALSE),""))</f>
        <v/>
      </c>
      <c r="AM62" s="3" t="str">
        <f>IF(Table92839495255[[#This Row],[Course]]= "","",IFERROR(VLOOKUP(Table92839495255[[#This Row],[Course]],COURSELIST[],7,FALSE),""))</f>
        <v/>
      </c>
      <c r="AN62" s="3" t="str">
        <f>IF(Table92839495255[[#This Row],[Course]]= "","",IFERROR(VLOOKUP(Table92839495255[[#This Row],[Course]],COURSELIST[],8,FALSE),""))</f>
        <v/>
      </c>
    </row>
    <row r="63" spans="1:40" ht="15.75" outlineLevel="1" thickBot="1">
      <c r="B63" s="146"/>
      <c r="C63" s="25"/>
      <c r="D63" s="3" t="str">
        <f>IF(Table3222148[[#This Row],[Course]]= "","",IFERROR(VLOOKUP(Table3222148[[#This Row],[Course]],COURSELIST[],2,FALSE),"Course Not Found!"))</f>
        <v/>
      </c>
      <c r="E63" s="3" t="str">
        <f>IF(Table3222148[[#This Row],[Course]]= "","",IFERROR(VLOOKUP(Table3222148[[#This Row],[Course]],COURSELIST[],3,FALSE),""))</f>
        <v/>
      </c>
      <c r="F63" s="3" t="str">
        <f>IF(Table3222148[[#This Row],[Course]]= "","",IFERROR(VLOOKUP(Table3222148[[#This Row],[Course]],COURSELIST[],4,FALSE),""))</f>
        <v/>
      </c>
      <c r="H63" s="3" t="str">
        <f>IF(Table3222148[[#This Row],[Course]]= "","",IFERROR(VLOOKUP(Table3222148[[#This Row],[Course]],COURSELIST[],6,FALSE),""))</f>
        <v/>
      </c>
      <c r="I63" s="3" t="str">
        <f>IF(Table3222148[[#This Row],[Course]]= "","",IFERROR(VLOOKUP(Table3222148[[#This Row],[Course]],COURSELIST[],7,FALSE),""))</f>
        <v/>
      </c>
      <c r="J63" s="3" t="str">
        <f>IF(Table3222148[[#This Row],[Course]]= "","",IFERROR(VLOOKUP(Table3222148[[#This Row],[Course]],COURSELIST[],8,FALSE),""))</f>
        <v/>
      </c>
      <c r="L63" s="146"/>
      <c r="M63" s="25"/>
      <c r="N63" s="3" t="str">
        <f>IF(Table14334450[[#This Row],[Course]]= "","",IFERROR(VLOOKUP(Table14334450[[#This Row],[Course]],COURSELIST[],2,FALSE),"Course Not Found!"))</f>
        <v/>
      </c>
      <c r="O63" s="3" t="str">
        <f>IF(Table14334450[[#This Row],[Course]]= "","",IFERROR(VLOOKUP(Table14334450[[#This Row],[Course]],COURSELIST[],3,FALSE),""))</f>
        <v/>
      </c>
      <c r="P63" s="3" t="str">
        <f>IF(Table14334450[[#This Row],[Course]]= "","",IFERROR(VLOOKUP(Table14334450[[#This Row],[Course]],COURSELIST[],4,FALSE),""))</f>
        <v/>
      </c>
      <c r="R63" s="3" t="str">
        <f>IF(Table14334450[[#This Row],[Course]]= "","",IFERROR(VLOOKUP(Table14334450[[#This Row],[Course]],COURSELIST[],6,FALSE),""))</f>
        <v/>
      </c>
      <c r="S63" s="3" t="str">
        <f>IF(Table14334450[[#This Row],[Course]]= "","",IFERROR(VLOOKUP(Table14334450[[#This Row],[Course]],COURSELIST[],7,FALSE),""))</f>
        <v/>
      </c>
      <c r="T63" s="3" t="str">
        <f>IF(Table14334450[[#This Row],[Course]]= "","",IFERROR(VLOOKUP(Table14334450[[#This Row],[Course]],COURSELIST[],8,FALSE),""))</f>
        <v/>
      </c>
      <c r="V63" s="146"/>
      <c r="W63" s="16"/>
      <c r="X63" s="3" t="str">
        <f>IF(Table9283949[[#This Row],[Course]]= "","",IFERROR(VLOOKUP(Table9283949[[#This Row],[Course]],COURSELIST[],2,FALSE),"Course Not Found!"))</f>
        <v/>
      </c>
      <c r="Y63" s="3" t="str">
        <f>IF(Table9283949[[#This Row],[Course]]= "","",IFERROR(VLOOKUP(Table9283949[[#This Row],[Course]],COURSELIST[],3,FALSE),""))</f>
        <v/>
      </c>
      <c r="Z63" s="3" t="str">
        <f>IF(Table9283949[[#This Row],[Course]]= "","",IFERROR(VLOOKUP(Table9283949[[#This Row],[Course]],COURSELIST[],4,FALSE),""))</f>
        <v/>
      </c>
      <c r="AB63" s="3" t="str">
        <f>IF(Table9283949[[#This Row],[Course]]= "","",IFERROR(VLOOKUP(Table9283949[[#This Row],[Course]],COURSELIST[],6,FALSE),""))</f>
        <v/>
      </c>
      <c r="AC63" s="3" t="str">
        <f>IF(Table9283949[[#This Row],[Course]]= "","",IFERROR(VLOOKUP(Table9283949[[#This Row],[Course]],COURSELIST[],7,FALSE),""))</f>
        <v/>
      </c>
      <c r="AD63" s="3" t="str">
        <f>IF(Table9283949[[#This Row],[Course]]= "","",IFERROR(VLOOKUP(Table9283949[[#This Row],[Course]],COURSELIST[],8,FALSE),""))</f>
        <v/>
      </c>
      <c r="AF63" s="146"/>
      <c r="AG63" s="16"/>
      <c r="AH63" s="3" t="str">
        <f>IF(Table92839495255[[#This Row],[Course]]= "","",IFERROR(VLOOKUP(Table92839495255[[#This Row],[Course]],COURSELIST[],2,FALSE),"Course Not Found!"))</f>
        <v/>
      </c>
      <c r="AI63" s="3" t="str">
        <f>IF(Table92839495255[[#This Row],[Course]]= "","",IFERROR(VLOOKUP(Table92839495255[[#This Row],[Course]],COURSELIST[],3,FALSE),""))</f>
        <v/>
      </c>
      <c r="AJ63" s="3" t="str">
        <f>IF(Table92839495255[[#This Row],[Course]]= "","",IFERROR(VLOOKUP(Table92839495255[[#This Row],[Course]],COURSELIST[],4,FALSE),""))</f>
        <v/>
      </c>
      <c r="AL63" s="3" t="str">
        <f>IF(Table92839495255[[#This Row],[Course]]= "","",IFERROR(VLOOKUP(Table92839495255[[#This Row],[Course]],COURSELIST[],6,FALSE),""))</f>
        <v/>
      </c>
      <c r="AM63" s="3" t="str">
        <f>IF(Table92839495255[[#This Row],[Course]]= "","",IFERROR(VLOOKUP(Table92839495255[[#This Row],[Course]],COURSELIST[],7,FALSE),""))</f>
        <v/>
      </c>
      <c r="AN63" s="3" t="str">
        <f>IF(Table92839495255[[#This Row],[Course]]= "","",IFERROR(VLOOKUP(Table92839495255[[#This Row],[Course]],COURSELIST[],8,FALSE),""))</f>
        <v/>
      </c>
    </row>
    <row r="64" spans="1:40" ht="15.75" outlineLevel="1" thickBot="1">
      <c r="B64" s="146"/>
      <c r="C64" s="16"/>
      <c r="D64" s="3" t="str">
        <f>IF(Table3222148[[#This Row],[Course]]= "","",IFERROR(VLOOKUP(Table3222148[[#This Row],[Course]],COURSELIST[],2,FALSE),"Course Not Found!"))</f>
        <v/>
      </c>
      <c r="E64" s="3" t="str">
        <f>IF(Table3222148[[#This Row],[Course]]= "","",IFERROR(VLOOKUP(Table3222148[[#This Row],[Course]],COURSELIST[],3,FALSE),""))</f>
        <v/>
      </c>
      <c r="F64" s="3" t="str">
        <f>IF(Table3222148[[#This Row],[Course]]= "","",IFERROR(VLOOKUP(Table3222148[[#This Row],[Course]],COURSELIST[],4,FALSE),""))</f>
        <v/>
      </c>
      <c r="H64" s="3" t="str">
        <f>IF(Table3222148[[#This Row],[Course]]= "","",IFERROR(VLOOKUP(Table3222148[[#This Row],[Course]],COURSELIST[],6,FALSE),""))</f>
        <v/>
      </c>
      <c r="I64" s="3" t="str">
        <f>IF(Table3222148[[#This Row],[Course]]= "","",IFERROR(VLOOKUP(Table3222148[[#This Row],[Course]],COURSELIST[],7,FALSE),""))</f>
        <v/>
      </c>
      <c r="J64" s="3" t="str">
        <f>IF(Table3222148[[#This Row],[Course]]= "","",IFERROR(VLOOKUP(Table3222148[[#This Row],[Course]],COURSELIST[],8,FALSE),""))</f>
        <v/>
      </c>
      <c r="L64" s="146"/>
      <c r="M64" s="25"/>
      <c r="N64" s="3" t="str">
        <f>IF(Table14334450[[#This Row],[Course]]= "","",IFERROR(VLOOKUP(Table14334450[[#This Row],[Course]],COURSELIST[],2,FALSE),"Course Not Found!"))</f>
        <v/>
      </c>
      <c r="O64" s="3" t="str">
        <f>IF(Table14334450[[#This Row],[Course]]= "","",IFERROR(VLOOKUP(Table14334450[[#This Row],[Course]],COURSELIST[],3,FALSE),""))</f>
        <v/>
      </c>
      <c r="P64" s="3" t="str">
        <f>IF(Table14334450[[#This Row],[Course]]= "","",IFERROR(VLOOKUP(Table14334450[[#This Row],[Course]],COURSELIST[],4,FALSE),""))</f>
        <v/>
      </c>
      <c r="R64" s="3" t="str">
        <f>IF(Table14334450[[#This Row],[Course]]= "","",IFERROR(VLOOKUP(Table14334450[[#This Row],[Course]],COURSELIST[],6,FALSE),""))</f>
        <v/>
      </c>
      <c r="S64" s="3" t="str">
        <f>IF(Table14334450[[#This Row],[Course]]= "","",IFERROR(VLOOKUP(Table14334450[[#This Row],[Course]],COURSELIST[],7,FALSE),""))</f>
        <v/>
      </c>
      <c r="T64" s="3" t="str">
        <f>IF(Table14334450[[#This Row],[Course]]= "","",IFERROR(VLOOKUP(Table14334450[[#This Row],[Course]],COURSELIST[],8,FALSE),""))</f>
        <v/>
      </c>
      <c r="V64" s="146"/>
      <c r="W64" s="16"/>
      <c r="X64" s="3" t="str">
        <f>IF(Table9283949[[#This Row],[Course]]= "","",IFERROR(VLOOKUP(Table9283949[[#This Row],[Course]],COURSELIST[],2,FALSE),"Course Not Found!"))</f>
        <v/>
      </c>
      <c r="Y64" s="3" t="str">
        <f>IF(Table9283949[[#This Row],[Course]]= "","",IFERROR(VLOOKUP(Table9283949[[#This Row],[Course]],COURSELIST[],3,FALSE),""))</f>
        <v/>
      </c>
      <c r="Z64" s="3" t="str">
        <f>IF(Table9283949[[#This Row],[Course]]= "","",IFERROR(VLOOKUP(Table9283949[[#This Row],[Course]],COURSELIST[],4,FALSE),""))</f>
        <v/>
      </c>
      <c r="AB64" s="3" t="str">
        <f>IF(Table9283949[[#This Row],[Course]]= "","",IFERROR(VLOOKUP(Table9283949[[#This Row],[Course]],COURSELIST[],6,FALSE),""))</f>
        <v/>
      </c>
      <c r="AC64" s="3" t="str">
        <f>IF(Table9283949[[#This Row],[Course]]= "","",IFERROR(VLOOKUP(Table9283949[[#This Row],[Course]],COURSELIST[],7,FALSE),""))</f>
        <v/>
      </c>
      <c r="AD64" s="3" t="str">
        <f>IF(Table9283949[[#This Row],[Course]]= "","",IFERROR(VLOOKUP(Table9283949[[#This Row],[Course]],COURSELIST[],8,FALSE),""))</f>
        <v/>
      </c>
      <c r="AF64" s="146"/>
      <c r="AG64" s="16"/>
      <c r="AH64" s="3" t="str">
        <f>IF(Table92839495255[[#This Row],[Course]]= "","",IFERROR(VLOOKUP(Table92839495255[[#This Row],[Course]],COURSELIST[],2,FALSE),"Course Not Found!"))</f>
        <v/>
      </c>
      <c r="AI64" s="3" t="str">
        <f>IF(Table92839495255[[#This Row],[Course]]= "","",IFERROR(VLOOKUP(Table92839495255[[#This Row],[Course]],COURSELIST[],3,FALSE),""))</f>
        <v/>
      </c>
      <c r="AJ64" s="3" t="str">
        <f>IF(Table92839495255[[#This Row],[Course]]= "","",IFERROR(VLOOKUP(Table92839495255[[#This Row],[Course]],COURSELIST[],4,FALSE),""))</f>
        <v/>
      </c>
      <c r="AL64" s="3" t="str">
        <f>IF(Table92839495255[[#This Row],[Course]]= "","",IFERROR(VLOOKUP(Table92839495255[[#This Row],[Course]],COURSELIST[],6,FALSE),""))</f>
        <v/>
      </c>
      <c r="AM64" s="3" t="str">
        <f>IF(Table92839495255[[#This Row],[Course]]= "","",IFERROR(VLOOKUP(Table92839495255[[#This Row],[Course]],COURSELIST[],7,FALSE),""))</f>
        <v/>
      </c>
      <c r="AN64" s="3" t="str">
        <f>IF(Table92839495255[[#This Row],[Course]]= "","",IFERROR(VLOOKUP(Table92839495255[[#This Row],[Course]],COURSELIST[],8,FALSE),""))</f>
        <v/>
      </c>
    </row>
    <row r="65" spans="2:40" ht="15.75" outlineLevel="1" thickBot="1">
      <c r="B65" s="146"/>
      <c r="C65" s="25"/>
      <c r="D65" s="3" t="str">
        <f>IF(Table3222148[[#This Row],[Course]]= "","",IFERROR(VLOOKUP(Table3222148[[#This Row],[Course]],COURSELIST[],2,FALSE),"Course Not Found!"))</f>
        <v/>
      </c>
      <c r="E65" s="3" t="str">
        <f>IF(Table3222148[[#This Row],[Course]]= "","",IFERROR(VLOOKUP(Table3222148[[#This Row],[Course]],COURSELIST[],3,FALSE),""))</f>
        <v/>
      </c>
      <c r="F65" s="3" t="str">
        <f>IF(Table3222148[[#This Row],[Course]]= "","",IFERROR(VLOOKUP(Table3222148[[#This Row],[Course]],COURSELIST[],4,FALSE),""))</f>
        <v/>
      </c>
      <c r="H65" s="3" t="str">
        <f>IF(Table3222148[[#This Row],[Course]]= "","",IFERROR(VLOOKUP(Table3222148[[#This Row],[Course]],COURSELIST[],6,FALSE),""))</f>
        <v/>
      </c>
      <c r="I65" s="3" t="str">
        <f>IF(Table3222148[[#This Row],[Course]]= "","",IFERROR(VLOOKUP(Table3222148[[#This Row],[Course]],COURSELIST[],7,FALSE),""))</f>
        <v/>
      </c>
      <c r="J65" s="3" t="str">
        <f>IF(Table3222148[[#This Row],[Course]]= "","",IFERROR(VLOOKUP(Table3222148[[#This Row],[Course]],COURSELIST[],8,FALSE),""))</f>
        <v/>
      </c>
      <c r="L65" s="146"/>
      <c r="M65" s="17"/>
      <c r="N65" s="3" t="str">
        <f>IF(Table14334450[[#This Row],[Course]]= "","",IFERROR(VLOOKUP(Table14334450[[#This Row],[Course]],COURSELIST[],2,FALSE),"Course Not Found!"))</f>
        <v/>
      </c>
      <c r="O65" s="3" t="str">
        <f>IF(Table14334450[[#This Row],[Course]]= "","",IFERROR(VLOOKUP(Table14334450[[#This Row],[Course]],COURSELIST[],3,FALSE),""))</f>
        <v/>
      </c>
      <c r="P65" s="3" t="str">
        <f>IF(Table14334450[[#This Row],[Course]]= "","",IFERROR(VLOOKUP(Table14334450[[#This Row],[Course]],COURSELIST[],4,FALSE),""))</f>
        <v/>
      </c>
      <c r="R65" s="3" t="str">
        <f>IF(Table14334450[[#This Row],[Course]]= "","",IFERROR(VLOOKUP(Table14334450[[#This Row],[Course]],COURSELIST[],6,FALSE),""))</f>
        <v/>
      </c>
      <c r="S65" s="3" t="str">
        <f>IF(Table14334450[[#This Row],[Course]]= "","",IFERROR(VLOOKUP(Table14334450[[#This Row],[Course]],COURSELIST[],7,FALSE),""))</f>
        <v/>
      </c>
      <c r="T65" s="5" t="str">
        <f>IF(Table14334450[[#This Row],[Course]]= "","",IFERROR(VLOOKUP(Table14334450[[#This Row],[Course]],COURSELIST[],8,FALSE),""))</f>
        <v/>
      </c>
      <c r="V65" s="146"/>
      <c r="W65" s="25"/>
      <c r="X65" s="3" t="str">
        <f>IF(Table9283949[[#This Row],[Course]]= "","",IFERROR(VLOOKUP(Table9283949[[#This Row],[Course]],COURSELIST[],2,FALSE),"Course Not Found!"))</f>
        <v/>
      </c>
      <c r="Y65" s="3" t="str">
        <f>IF(Table9283949[[#This Row],[Course]]= "","",IFERROR(VLOOKUP(Table9283949[[#This Row],[Course]],COURSELIST[],3,FALSE),""))</f>
        <v/>
      </c>
      <c r="Z65" s="3" t="str">
        <f>IF(Table9283949[[#This Row],[Course]]= "","",IFERROR(VLOOKUP(Table9283949[[#This Row],[Course]],COURSELIST[],4,FALSE),""))</f>
        <v/>
      </c>
      <c r="AB65" s="3" t="str">
        <f>IF(Table9283949[[#This Row],[Course]]= "","",IFERROR(VLOOKUP(Table9283949[[#This Row],[Course]],COURSELIST[],6,FALSE),""))</f>
        <v/>
      </c>
      <c r="AC65" s="3" t="str">
        <f>IF(Table9283949[[#This Row],[Course]]= "","",IFERROR(VLOOKUP(Table9283949[[#This Row],[Course]],COURSELIST[],7,FALSE),""))</f>
        <v/>
      </c>
      <c r="AD65" s="3" t="str">
        <f>IF(Table9283949[[#This Row],[Course]]= "","",IFERROR(VLOOKUP(Table9283949[[#This Row],[Course]],COURSELIST[],8,FALSE),""))</f>
        <v/>
      </c>
      <c r="AF65" s="146"/>
      <c r="AG65" s="25"/>
      <c r="AH65" s="3" t="str">
        <f>IF(Table92839495255[[#This Row],[Course]]= "","",IFERROR(VLOOKUP(Table92839495255[[#This Row],[Course]],COURSELIST[],2,FALSE),"Course Not Found!"))</f>
        <v/>
      </c>
      <c r="AI65" s="3" t="str">
        <f>IF(Table92839495255[[#This Row],[Course]]= "","",IFERROR(VLOOKUP(Table92839495255[[#This Row],[Course]],COURSELIST[],3,FALSE),""))</f>
        <v/>
      </c>
      <c r="AJ65" s="3" t="str">
        <f>IF(Table92839495255[[#This Row],[Course]]= "","",IFERROR(VLOOKUP(Table92839495255[[#This Row],[Course]],COURSELIST[],4,FALSE),""))</f>
        <v/>
      </c>
      <c r="AL65" s="3" t="str">
        <f>IF(Table92839495255[[#This Row],[Course]]= "","",IFERROR(VLOOKUP(Table92839495255[[#This Row],[Course]],COURSELIST[],6,FALSE),""))</f>
        <v/>
      </c>
      <c r="AM65" s="3" t="str">
        <f>IF(Table92839495255[[#This Row],[Course]]= "","",IFERROR(VLOOKUP(Table92839495255[[#This Row],[Course]],COURSELIST[],7,FALSE),""))</f>
        <v/>
      </c>
      <c r="AN65" s="3" t="str">
        <f>IF(Table92839495255[[#This Row],[Course]]= "","",IFERROR(VLOOKUP(Table92839495255[[#This Row],[Course]],COURSELIST[],8,FALSE),""))</f>
        <v/>
      </c>
    </row>
    <row r="66" spans="2:40" ht="15.75" outlineLevel="1" thickBot="1">
      <c r="B66" s="146"/>
      <c r="C66" s="36"/>
      <c r="D66" s="3" t="str">
        <f>IF(Table3222148[[#This Row],[Course]]= "","",IFERROR(VLOOKUP(Table3222148[[#This Row],[Course]],COURSELIST[],2,FALSE),"Course Not Found!"))</f>
        <v/>
      </c>
      <c r="E66" s="3" t="str">
        <f>IF(Table3222148[[#This Row],[Course]]= "","",IFERROR(VLOOKUP(Table3222148[[#This Row],[Course]],COURSELIST[],3,FALSE),""))</f>
        <v/>
      </c>
      <c r="F66" s="3" t="str">
        <f>IF(Table3222148[[#This Row],[Course]]= "","",IFERROR(VLOOKUP(Table3222148[[#This Row],[Course]],COURSELIST[],4,FALSE),""))</f>
        <v/>
      </c>
      <c r="H66" s="3" t="str">
        <f>IF(Table3222148[[#This Row],[Course]]= "","",IFERROR(VLOOKUP(Table3222148[[#This Row],[Course]],COURSELIST[],6,FALSE),""))</f>
        <v/>
      </c>
      <c r="I66" s="3" t="str">
        <f>IF(Table3222148[[#This Row],[Course]]= "","",IFERROR(VLOOKUP(Table3222148[[#This Row],[Course]],COURSELIST[],7,FALSE),""))</f>
        <v/>
      </c>
      <c r="J66" s="3" t="str">
        <f>IF(Table3222148[[#This Row],[Course]]= "","",IFERROR(VLOOKUP(Table3222148[[#This Row],[Course]],COURSELIST[],8,FALSE),""))</f>
        <v/>
      </c>
      <c r="L66" s="146"/>
      <c r="M66" s="16"/>
      <c r="N66" s="3" t="str">
        <f>IF(Table14334450[[#This Row],[Course]]= "","",IFERROR(VLOOKUP(Table14334450[[#This Row],[Course]],COURSELIST[],2,FALSE),"Course Not Found!"))</f>
        <v/>
      </c>
      <c r="O66" s="3" t="str">
        <f>IF(Table14334450[[#This Row],[Course]]= "","",IFERROR(VLOOKUP(Table14334450[[#This Row],[Course]],COURSELIST[],3,FALSE),""))</f>
        <v/>
      </c>
      <c r="P66" s="3" t="str">
        <f>IF(Table14334450[[#This Row],[Course]]= "","",IFERROR(VLOOKUP(Table14334450[[#This Row],[Course]],COURSELIST[],4,FALSE),""))</f>
        <v/>
      </c>
      <c r="R66" s="3" t="str">
        <f>IF(Table14334450[[#This Row],[Course]]= "","",IFERROR(VLOOKUP(Table14334450[[#This Row],[Course]],COURSELIST[],6,FALSE),""))</f>
        <v/>
      </c>
      <c r="S66" s="3" t="str">
        <f>IF(Table14334450[[#This Row],[Course]]= "","",IFERROR(VLOOKUP(Table14334450[[#This Row],[Course]],COURSELIST[],7,FALSE),""))</f>
        <v/>
      </c>
      <c r="T66" s="3" t="str">
        <f>IF(Table14334450[[#This Row],[Course]]= "","",IFERROR(VLOOKUP(Table14334450[[#This Row],[Course]],COURSELIST[],8,FALSE),""))</f>
        <v/>
      </c>
      <c r="V66" s="146"/>
      <c r="W66" s="25"/>
      <c r="X66" s="3" t="str">
        <f>IF(Table9283949[[#This Row],[Course]]= "","",IFERROR(VLOOKUP(Table9283949[[#This Row],[Course]],COURSELIST[],2,FALSE),"Course Not Found!"))</f>
        <v/>
      </c>
      <c r="Y66" s="3" t="str">
        <f>IF(Table9283949[[#This Row],[Course]]= "","",IFERROR(VLOOKUP(Table9283949[[#This Row],[Course]],COURSELIST[],3,FALSE),""))</f>
        <v/>
      </c>
      <c r="Z66" s="3" t="str">
        <f>IF(Table9283949[[#This Row],[Course]]= "","",IFERROR(VLOOKUP(Table9283949[[#This Row],[Course]],COURSELIST[],4,FALSE),""))</f>
        <v/>
      </c>
      <c r="AB66" s="3" t="str">
        <f>IF(Table9283949[[#This Row],[Course]]= "","",IFERROR(VLOOKUP(Table9283949[[#This Row],[Course]],COURSELIST[],6,FALSE),""))</f>
        <v/>
      </c>
      <c r="AC66" s="3" t="str">
        <f>IF(Table9283949[[#This Row],[Course]]= "","",IFERROR(VLOOKUP(Table9283949[[#This Row],[Course]],COURSELIST[],7,FALSE),""))</f>
        <v/>
      </c>
      <c r="AD66" s="3" t="str">
        <f>IF(Table9283949[[#This Row],[Course]]= "","",IFERROR(VLOOKUP(Table9283949[[#This Row],[Course]],COURSELIST[],8,FALSE),""))</f>
        <v/>
      </c>
      <c r="AF66" s="146"/>
      <c r="AG66" s="25"/>
      <c r="AH66" s="3" t="str">
        <f>IF(Table92839495255[[#This Row],[Course]]= "","",IFERROR(VLOOKUP(Table92839495255[[#This Row],[Course]],COURSELIST[],2,FALSE),"Course Not Found!"))</f>
        <v/>
      </c>
      <c r="AI66" s="3" t="str">
        <f>IF(Table92839495255[[#This Row],[Course]]= "","",IFERROR(VLOOKUP(Table92839495255[[#This Row],[Course]],COURSELIST[],3,FALSE),""))</f>
        <v/>
      </c>
      <c r="AJ66" s="3" t="str">
        <f>IF(Table92839495255[[#This Row],[Course]]= "","",IFERROR(VLOOKUP(Table92839495255[[#This Row],[Course]],COURSELIST[],4,FALSE),""))</f>
        <v/>
      </c>
      <c r="AL66" s="3" t="str">
        <f>IF(Table92839495255[[#This Row],[Course]]= "","",IFERROR(VLOOKUP(Table92839495255[[#This Row],[Course]],COURSELIST[],6,FALSE),""))</f>
        <v/>
      </c>
      <c r="AM66" s="3" t="str">
        <f>IF(Table92839495255[[#This Row],[Course]]= "","",IFERROR(VLOOKUP(Table92839495255[[#This Row],[Course]],COURSELIST[],7,FALSE),""))</f>
        <v/>
      </c>
      <c r="AN66" s="3" t="str">
        <f>IF(Table92839495255[[#This Row],[Course]]= "","",IFERROR(VLOOKUP(Table92839495255[[#This Row],[Course]],COURSELIST[],8,FALSE),""))</f>
        <v/>
      </c>
    </row>
    <row r="67" spans="2:40" ht="15.75" outlineLevel="1" thickBot="1">
      <c r="B67" s="146"/>
      <c r="C67" s="37"/>
      <c r="D67" s="3" t="str">
        <f>IF(Table3222148[[#This Row],[Course]]= "","",IFERROR(VLOOKUP(Table3222148[[#This Row],[Course]],COURSELIST[],2,FALSE),"Course Not Found!"))</f>
        <v/>
      </c>
      <c r="E67" s="3" t="str">
        <f>IF(Table3222148[[#This Row],[Course]]= "","",IFERROR(VLOOKUP(Table3222148[[#This Row],[Course]],COURSELIST[],3,FALSE),""))</f>
        <v/>
      </c>
      <c r="F67" s="3" t="str">
        <f>IF(Table3222148[[#This Row],[Course]]= "","",IFERROR(VLOOKUP(Table3222148[[#This Row],[Course]],COURSELIST[],4,FALSE),""))</f>
        <v/>
      </c>
      <c r="H67" s="3" t="str">
        <f>IF(Table3222148[[#This Row],[Course]]= "","",IFERROR(VLOOKUP(Table3222148[[#This Row],[Course]],COURSELIST[],6,FALSE),""))</f>
        <v/>
      </c>
      <c r="I67" s="3" t="str">
        <f>IF(Table3222148[[#This Row],[Course]]= "","",IFERROR(VLOOKUP(Table3222148[[#This Row],[Course]],COURSELIST[],7,FALSE),""))</f>
        <v/>
      </c>
      <c r="J67" s="3" t="str">
        <f>IF(Table3222148[[#This Row],[Course]]= "","",IFERROR(VLOOKUP(Table3222148[[#This Row],[Course]],COURSELIST[],8,FALSE),""))</f>
        <v/>
      </c>
      <c r="L67" s="146"/>
      <c r="M67" s="28"/>
      <c r="N67" s="3" t="str">
        <f>IF(Table14334450[[#This Row],[Course]]= "","",IFERROR(VLOOKUP(Table14334450[[#This Row],[Course]],COURSELIST[],2,FALSE),"Course Not Found!"))</f>
        <v/>
      </c>
      <c r="O67" s="3" t="str">
        <f>IF(Table14334450[[#This Row],[Course]]= "","",IFERROR(VLOOKUP(Table14334450[[#This Row],[Course]],COURSELIST[],3,FALSE),""))</f>
        <v/>
      </c>
      <c r="P67" s="3" t="str">
        <f>IF(Table14334450[[#This Row],[Course]]= "","",IFERROR(VLOOKUP(Table14334450[[#This Row],[Course]],COURSELIST[],4,FALSE),""))</f>
        <v/>
      </c>
      <c r="R67" s="3" t="str">
        <f>IF(Table14334450[[#This Row],[Course]]= "","",IFERROR(VLOOKUP(Table14334450[[#This Row],[Course]],COURSELIST[],6,FALSE),""))</f>
        <v/>
      </c>
      <c r="S67" s="3" t="str">
        <f>IF(Table14334450[[#This Row],[Course]]= "","",IFERROR(VLOOKUP(Table14334450[[#This Row],[Course]],COURSELIST[],7,FALSE),""))</f>
        <v/>
      </c>
      <c r="T67" s="3" t="str">
        <f>IF(Table14334450[[#This Row],[Course]]= "","",IFERROR(VLOOKUP(Table14334450[[#This Row],[Course]],COURSELIST[],8,FALSE),""))</f>
        <v/>
      </c>
      <c r="V67" s="146"/>
      <c r="W67" s="28"/>
      <c r="X67" s="3" t="str">
        <f>IF(Table9283949[[#This Row],[Course]]= "","",IFERROR(VLOOKUP(Table9283949[[#This Row],[Course]],COURSELIST[],2,FALSE),"Course Not Found!"))</f>
        <v/>
      </c>
      <c r="Y67" s="3" t="str">
        <f>IF(Table9283949[[#This Row],[Course]]= "","",IFERROR(VLOOKUP(Table9283949[[#This Row],[Course]],COURSELIST[],3,FALSE),""))</f>
        <v/>
      </c>
      <c r="Z67" s="3" t="str">
        <f>IF(Table9283949[[#This Row],[Course]]= "","",IFERROR(VLOOKUP(Table9283949[[#This Row],[Course]],COURSELIST[],4,FALSE),""))</f>
        <v/>
      </c>
      <c r="AB67" s="3" t="str">
        <f>IF(Table9283949[[#This Row],[Course]]= "","",IFERROR(VLOOKUP(Table9283949[[#This Row],[Course]],COURSELIST[],6,FALSE),""))</f>
        <v/>
      </c>
      <c r="AC67" s="3" t="str">
        <f>IF(Table9283949[[#This Row],[Course]]= "","",IFERROR(VLOOKUP(Table9283949[[#This Row],[Course]],COURSELIST[],7,FALSE),""))</f>
        <v/>
      </c>
      <c r="AD67" s="3" t="str">
        <f>IF(Table9283949[[#This Row],[Course]]= "","",IFERROR(VLOOKUP(Table9283949[[#This Row],[Course]],COURSELIST[],8,FALSE),""))</f>
        <v/>
      </c>
      <c r="AF67" s="146"/>
      <c r="AG67" s="28"/>
      <c r="AH67" s="3" t="str">
        <f>IF(Table92839495255[[#This Row],[Course]]= "","",IFERROR(VLOOKUP(Table92839495255[[#This Row],[Course]],COURSELIST[],2,FALSE),"Course Not Found!"))</f>
        <v/>
      </c>
      <c r="AI67" s="3" t="str">
        <f>IF(Table92839495255[[#This Row],[Course]]= "","",IFERROR(VLOOKUP(Table92839495255[[#This Row],[Course]],COURSELIST[],3,FALSE),""))</f>
        <v/>
      </c>
      <c r="AJ67" s="3" t="str">
        <f>IF(Table92839495255[[#This Row],[Course]]= "","",IFERROR(VLOOKUP(Table92839495255[[#This Row],[Course]],COURSELIST[],4,FALSE),""))</f>
        <v/>
      </c>
      <c r="AL67" s="3" t="str">
        <f>IF(Table92839495255[[#This Row],[Course]]= "","",IFERROR(VLOOKUP(Table92839495255[[#This Row],[Course]],COURSELIST[],6,FALSE),""))</f>
        <v/>
      </c>
      <c r="AM67" s="3" t="str">
        <f>IF(Table92839495255[[#This Row],[Course]]= "","",IFERROR(VLOOKUP(Table92839495255[[#This Row],[Course]],COURSELIST[],7,FALSE),""))</f>
        <v/>
      </c>
      <c r="AN67" s="3" t="str">
        <f>IF(Table92839495255[[#This Row],[Course]]= "","",IFERROR(VLOOKUP(Table92839495255[[#This Row],[Course]],COURSELIST[],8,FALSE),""))</f>
        <v/>
      </c>
    </row>
    <row r="68" spans="2:40" outlineLevel="1">
      <c r="C68" s="19"/>
      <c r="E68" s="3" t="s">
        <v>10</v>
      </c>
      <c r="F68" s="3">
        <f>SUM(F61:F67)</f>
        <v>0</v>
      </c>
      <c r="G68" s="4"/>
      <c r="I68" s="3" t="s">
        <v>27</v>
      </c>
      <c r="J68" s="4">
        <f>SUM(J61:J67)</f>
        <v>0</v>
      </c>
      <c r="O68" s="3" t="s">
        <v>10</v>
      </c>
      <c r="P68" s="3">
        <f>SUM(P61:P67)</f>
        <v>0</v>
      </c>
      <c r="S68" s="3" t="s">
        <v>27</v>
      </c>
      <c r="T68" s="3">
        <f>SUM(T61:T67)</f>
        <v>0</v>
      </c>
      <c r="Y68" s="3" t="s">
        <v>10</v>
      </c>
      <c r="Z68" s="3">
        <f>SUM(Z61:Z67)</f>
        <v>0</v>
      </c>
      <c r="AC68" s="3" t="s">
        <v>27</v>
      </c>
      <c r="AD68" s="3">
        <f>SUM(AD61:AD67)</f>
        <v>0</v>
      </c>
      <c r="AI68" s="3" t="s">
        <v>10</v>
      </c>
      <c r="AJ68" s="3">
        <f>SUM(AJ61:AJ67)</f>
        <v>0</v>
      </c>
      <c r="AM68" s="3" t="s">
        <v>27</v>
      </c>
      <c r="AN68" s="3">
        <f>SUM(AN61:AN67)</f>
        <v>0</v>
      </c>
    </row>
    <row r="69" spans="2:40" outlineLevel="1">
      <c r="C69" s="19"/>
      <c r="E69" s="3" t="s">
        <v>18</v>
      </c>
      <c r="F69" s="3">
        <f>F68+AJ55</f>
        <v>0</v>
      </c>
      <c r="G69" s="4"/>
      <c r="I69" s="3" t="s">
        <v>17</v>
      </c>
      <c r="J69" s="4">
        <f>J68+AN55</f>
        <v>0</v>
      </c>
      <c r="O69" s="3" t="s">
        <v>18</v>
      </c>
      <c r="P69" s="3">
        <f>P68+F69</f>
        <v>0</v>
      </c>
      <c r="S69" s="3" t="s">
        <v>17</v>
      </c>
      <c r="T69" s="3">
        <f>T68+J69</f>
        <v>0</v>
      </c>
      <c r="Y69" s="3" t="s">
        <v>18</v>
      </c>
      <c r="Z69" s="3">
        <f>Z68+P69</f>
        <v>0</v>
      </c>
      <c r="AC69" s="3" t="s">
        <v>17</v>
      </c>
      <c r="AD69" s="3">
        <f>AD68+T69</f>
        <v>0</v>
      </c>
      <c r="AI69" s="3" t="s">
        <v>18</v>
      </c>
      <c r="AJ69" s="3">
        <f>AJ68+Z69</f>
        <v>0</v>
      </c>
      <c r="AM69" s="3" t="s">
        <v>17</v>
      </c>
      <c r="AN69" s="3">
        <f>AN68+AD69</f>
        <v>0</v>
      </c>
    </row>
    <row r="70" spans="2:40" outlineLevel="1">
      <c r="C70" s="19"/>
      <c r="E70" s="5" t="s">
        <v>19</v>
      </c>
      <c r="F70" s="5">
        <f>F68+AJ56</f>
        <v>0</v>
      </c>
      <c r="G70" s="24"/>
      <c r="I70" s="3" t="s">
        <v>14</v>
      </c>
      <c r="J70" s="4" t="e">
        <f>J68/F68</f>
        <v>#DIV/0!</v>
      </c>
      <c r="O70" s="5" t="s">
        <v>19</v>
      </c>
      <c r="P70" s="5">
        <f>P68+F70</f>
        <v>0</v>
      </c>
      <c r="Q70" s="5"/>
      <c r="S70" s="3" t="s">
        <v>14</v>
      </c>
      <c r="T70" s="3" t="e">
        <f>T68/P68</f>
        <v>#DIV/0!</v>
      </c>
      <c r="W70" s="5"/>
      <c r="X70" s="5"/>
      <c r="Y70" s="5" t="s">
        <v>19</v>
      </c>
      <c r="Z70" s="5">
        <f>Z68+P70</f>
        <v>0</v>
      </c>
      <c r="AA70" s="5"/>
      <c r="AC70" s="3" t="s">
        <v>14</v>
      </c>
      <c r="AD70" s="3" t="e">
        <f>AD68/Z68</f>
        <v>#DIV/0!</v>
      </c>
      <c r="AG70" s="5"/>
      <c r="AH70" s="5"/>
      <c r="AI70" s="5" t="s">
        <v>19</v>
      </c>
      <c r="AJ70" s="5">
        <f>AJ68+Z70</f>
        <v>0</v>
      </c>
      <c r="AK70" s="5"/>
      <c r="AM70" s="3" t="s">
        <v>14</v>
      </c>
      <c r="AN70" s="3" t="e">
        <f>AN68/AJ68</f>
        <v>#DIV/0!</v>
      </c>
    </row>
    <row r="71" spans="2:40" ht="21" outlineLevel="1">
      <c r="C71" s="19"/>
      <c r="G71" s="4"/>
      <c r="H71" s="23"/>
      <c r="I71" s="5" t="s">
        <v>16</v>
      </c>
      <c r="J71" s="24" t="e">
        <f>J69/F70</f>
        <v>#DIV/0!</v>
      </c>
      <c r="M71" s="5"/>
      <c r="N71" s="5"/>
      <c r="S71" s="5" t="s">
        <v>16</v>
      </c>
      <c r="T71" s="5" t="e">
        <f>T69/P70</f>
        <v>#DIV/0!</v>
      </c>
      <c r="AC71" s="5" t="s">
        <v>16</v>
      </c>
      <c r="AD71" s="5" t="e">
        <f>AD69/Z70</f>
        <v>#DIV/0!</v>
      </c>
      <c r="AM71" s="5" t="s">
        <v>16</v>
      </c>
      <c r="AN71" s="5" t="e">
        <f>AN69/AJ70</f>
        <v>#DIV/0!</v>
      </c>
    </row>
    <row r="72" spans="2:40">
      <c r="L72" s="39"/>
    </row>
    <row r="73" spans="2:40">
      <c r="L73" s="40"/>
    </row>
    <row r="74" spans="2:40">
      <c r="L74" s="39"/>
    </row>
    <row r="75" spans="2:40">
      <c r="L75" s="41"/>
    </row>
    <row r="76" spans="2:40">
      <c r="L76" s="42"/>
    </row>
    <row r="77" spans="2:40">
      <c r="L77" s="40"/>
    </row>
    <row r="78" spans="2:40">
      <c r="L78" s="39"/>
    </row>
    <row r="79" spans="2:40">
      <c r="L79" s="40"/>
    </row>
    <row r="80" spans="2:40">
      <c r="L80" s="39"/>
    </row>
    <row r="81" spans="12:12">
      <c r="L81" s="40"/>
    </row>
    <row r="82" spans="12:12">
      <c r="L82" s="39"/>
    </row>
    <row r="83" spans="12:12">
      <c r="L83" s="40"/>
    </row>
    <row r="84" spans="12:12">
      <c r="L84" s="42"/>
    </row>
    <row r="85" spans="12:12">
      <c r="L85" s="41"/>
    </row>
    <row r="86" spans="12:12">
      <c r="L86" s="42"/>
    </row>
    <row r="87" spans="12:12">
      <c r="L87" s="41"/>
    </row>
    <row r="88" spans="12:12">
      <c r="L88" s="43"/>
    </row>
    <row r="89" spans="12:12">
      <c r="L89" s="41"/>
    </row>
    <row r="90" spans="12:12">
      <c r="L90" s="39"/>
    </row>
    <row r="91" spans="12:12">
      <c r="L91" s="40"/>
    </row>
    <row r="92" spans="12:12">
      <c r="L92" s="39"/>
    </row>
    <row r="93" spans="12:12">
      <c r="L93" s="40"/>
    </row>
    <row r="94" spans="12:12">
      <c r="L94" s="39"/>
    </row>
    <row r="95" spans="12:12">
      <c r="L95" s="40"/>
    </row>
    <row r="96" spans="12:12">
      <c r="L96" s="39"/>
    </row>
    <row r="97" spans="12:12">
      <c r="L97" s="40"/>
    </row>
    <row r="98" spans="12:12">
      <c r="L98" s="39"/>
    </row>
    <row r="99" spans="12:12">
      <c r="L99" s="41"/>
    </row>
    <row r="100" spans="12:12">
      <c r="L100" s="42"/>
    </row>
    <row r="101" spans="12:12">
      <c r="L101" s="41"/>
    </row>
    <row r="102" spans="12:12">
      <c r="L102" s="39"/>
    </row>
    <row r="103" spans="12:12">
      <c r="L103" s="44"/>
    </row>
    <row r="112" spans="12:12" ht="15.75" customHeight="1"/>
  </sheetData>
  <sheetProtection sheet="1" objects="1" scenarios="1"/>
  <dataConsolidate/>
  <mergeCells count="63">
    <mergeCell ref="AJ45:AN45"/>
    <mergeCell ref="Z59:AD59"/>
    <mergeCell ref="AJ59:AN59"/>
    <mergeCell ref="F59:J59"/>
    <mergeCell ref="F45:J45"/>
    <mergeCell ref="P45:T45"/>
    <mergeCell ref="P59:T59"/>
    <mergeCell ref="W59:Y59"/>
    <mergeCell ref="AF45:AF53"/>
    <mergeCell ref="Z45:AD45"/>
    <mergeCell ref="AG45:AI45"/>
    <mergeCell ref="AG59:AI59"/>
    <mergeCell ref="AF59:AF67"/>
    <mergeCell ref="M45:O45"/>
    <mergeCell ref="M59:O59"/>
    <mergeCell ref="AJ2:AN2"/>
    <mergeCell ref="Z2:AD2"/>
    <mergeCell ref="Z17:AD17"/>
    <mergeCell ref="AJ17:AN17"/>
    <mergeCell ref="AJ31:AN31"/>
    <mergeCell ref="Z31:AD31"/>
    <mergeCell ref="AF31:AF39"/>
    <mergeCell ref="AG31:AI31"/>
    <mergeCell ref="AF1:AG1"/>
    <mergeCell ref="B2:B10"/>
    <mergeCell ref="B17:B25"/>
    <mergeCell ref="L2:L10"/>
    <mergeCell ref="L17:L25"/>
    <mergeCell ref="F17:J17"/>
    <mergeCell ref="F2:J2"/>
    <mergeCell ref="P17:T17"/>
    <mergeCell ref="P2:T2"/>
    <mergeCell ref="AF2:AF10"/>
    <mergeCell ref="AF17:AF25"/>
    <mergeCell ref="AG2:AI2"/>
    <mergeCell ref="AG17:AI17"/>
    <mergeCell ref="M2:O2"/>
    <mergeCell ref="B31:B39"/>
    <mergeCell ref="B45:B53"/>
    <mergeCell ref="B59:B67"/>
    <mergeCell ref="L1:M1"/>
    <mergeCell ref="V1:W1"/>
    <mergeCell ref="F31:J31"/>
    <mergeCell ref="P31:T31"/>
    <mergeCell ref="V59:V67"/>
    <mergeCell ref="V45:V53"/>
    <mergeCell ref="V31:V39"/>
    <mergeCell ref="V2:V10"/>
    <mergeCell ref="W45:Y45"/>
    <mergeCell ref="W31:Y31"/>
    <mergeCell ref="W17:Y17"/>
    <mergeCell ref="W2:Y2"/>
    <mergeCell ref="V17:V25"/>
    <mergeCell ref="M31:O31"/>
    <mergeCell ref="M17:O17"/>
    <mergeCell ref="L31:L39"/>
    <mergeCell ref="L45:L53"/>
    <mergeCell ref="L59:L67"/>
    <mergeCell ref="C59:E59"/>
    <mergeCell ref="C45:E45"/>
    <mergeCell ref="C31:E31"/>
    <mergeCell ref="C17:E17"/>
    <mergeCell ref="C2:E2"/>
  </mergeCells>
  <conditionalFormatting sqref="H44 H30 G129:G1048576 R48:R51 I11:I13 AB10 AB19:AB25">
    <cfRule type="cellIs" dxfId="421" priority="419" operator="equal">
      <formula>"N"</formula>
    </cfRule>
    <cfRule type="cellIs" dxfId="420" priority="420" operator="equal">
      <formula>"Y"</formula>
    </cfRule>
  </conditionalFormatting>
  <conditionalFormatting sqref="AB4:AB10">
    <cfRule type="cellIs" dxfId="419" priority="417" operator="equal">
      <formula>"N"</formula>
    </cfRule>
    <cfRule type="cellIs" dxfId="418" priority="418" operator="equal">
      <formula>"Y"</formula>
    </cfRule>
  </conditionalFormatting>
  <conditionalFormatting sqref="AC11:AC13">
    <cfRule type="cellIs" dxfId="417" priority="415" operator="equal">
      <formula>"N"</formula>
    </cfRule>
    <cfRule type="cellIs" dxfId="416" priority="416" operator="equal">
      <formula>"Y"</formula>
    </cfRule>
  </conditionalFormatting>
  <conditionalFormatting sqref="S26:S28">
    <cfRule type="cellIs" dxfId="415" priority="409" operator="equal">
      <formula>"N"</formula>
    </cfRule>
    <cfRule type="cellIs" dxfId="414" priority="410" operator="equal">
      <formula>"Y"</formula>
    </cfRule>
  </conditionalFormatting>
  <conditionalFormatting sqref="S11:S13">
    <cfRule type="cellIs" dxfId="413" priority="413" operator="equal">
      <formula>"N"</formula>
    </cfRule>
    <cfRule type="cellIs" dxfId="412" priority="414" operator="equal">
      <formula>"Y"</formula>
    </cfRule>
  </conditionalFormatting>
  <conditionalFormatting sqref="I26:I28">
    <cfRule type="cellIs" dxfId="411" priority="411" operator="equal">
      <formula>"N"</formula>
    </cfRule>
    <cfRule type="cellIs" dxfId="410" priority="412" operator="equal">
      <formula>"Y"</formula>
    </cfRule>
  </conditionalFormatting>
  <conditionalFormatting sqref="AC26:AC28">
    <cfRule type="cellIs" dxfId="409" priority="407" operator="equal">
      <formula>"N"</formula>
    </cfRule>
    <cfRule type="cellIs" dxfId="408" priority="408" operator="equal">
      <formula>"Y"</formula>
    </cfRule>
  </conditionalFormatting>
  <conditionalFormatting sqref="I40:I42">
    <cfRule type="cellIs" dxfId="407" priority="405" operator="equal">
      <formula>"N"</formula>
    </cfRule>
    <cfRule type="cellIs" dxfId="406" priority="406" operator="equal">
      <formula>"Y"</formula>
    </cfRule>
  </conditionalFormatting>
  <conditionalFormatting sqref="S54:S56">
    <cfRule type="cellIs" dxfId="405" priority="401" operator="equal">
      <formula>"N"</formula>
    </cfRule>
    <cfRule type="cellIs" dxfId="404" priority="402" operator="equal">
      <formula>"Y"</formula>
    </cfRule>
  </conditionalFormatting>
  <conditionalFormatting sqref="H18">
    <cfRule type="cellIs" dxfId="403" priority="387" operator="equal">
      <formula>"N"</formula>
    </cfRule>
    <cfRule type="cellIs" dxfId="402" priority="388" operator="equal">
      <formula>"Y"</formula>
    </cfRule>
  </conditionalFormatting>
  <conditionalFormatting sqref="AC54:AC56">
    <cfRule type="cellIs" dxfId="401" priority="399" operator="equal">
      <formula>"N"</formula>
    </cfRule>
    <cfRule type="cellIs" dxfId="400" priority="400" operator="equal">
      <formula>"Y"</formula>
    </cfRule>
  </conditionalFormatting>
  <conditionalFormatting sqref="S40:S42">
    <cfRule type="cellIs" dxfId="399" priority="397" operator="equal">
      <formula>"N"</formula>
    </cfRule>
    <cfRule type="cellIs" dxfId="398" priority="398" operator="equal">
      <formula>"Y"</formula>
    </cfRule>
  </conditionalFormatting>
  <conditionalFormatting sqref="AC40:AC42">
    <cfRule type="cellIs" dxfId="397" priority="395" operator="equal">
      <formula>"N"</formula>
    </cfRule>
    <cfRule type="cellIs" dxfId="396" priority="396" operator="equal">
      <formula>"Y"</formula>
    </cfRule>
  </conditionalFormatting>
  <conditionalFormatting sqref="K31:K33 C52:C53">
    <cfRule type="expression" dxfId="395" priority="421">
      <formula>#REF!="y"</formula>
    </cfRule>
    <cfRule type="expression" dxfId="394" priority="422">
      <formula>#REF!="Spring 2016"</formula>
    </cfRule>
    <cfRule type="expression" dxfId="393" priority="423">
      <formula>#REF!="Spring 2015"</formula>
    </cfRule>
    <cfRule type="expression" dxfId="392" priority="424">
      <formula>#REF!="Fall 2016"</formula>
    </cfRule>
    <cfRule type="expression" dxfId="391" priority="425">
      <formula>#REF!="Spring 2014"</formula>
    </cfRule>
    <cfRule type="expression" dxfId="390" priority="426">
      <formula>#REF!="Fall 2015"</formula>
    </cfRule>
    <cfRule type="expression" dxfId="389" priority="427">
      <formula>#REF!="Fall 2014"</formula>
    </cfRule>
    <cfRule type="expression" dxfId="388" priority="428">
      <formula>#REF!="Fall 2013"</formula>
    </cfRule>
  </conditionalFormatting>
  <conditionalFormatting sqref="H3">
    <cfRule type="cellIs" dxfId="387" priority="393" operator="equal">
      <formula>"N"</formula>
    </cfRule>
    <cfRule type="cellIs" dxfId="386" priority="394" operator="equal">
      <formula>"Y"</formula>
    </cfRule>
  </conditionalFormatting>
  <conditionalFormatting sqref="R3">
    <cfRule type="cellIs" dxfId="385" priority="391" operator="equal">
      <formula>"N"</formula>
    </cfRule>
    <cfRule type="cellIs" dxfId="384" priority="392" operator="equal">
      <formula>"Y"</formula>
    </cfRule>
  </conditionalFormatting>
  <conditionalFormatting sqref="H32">
    <cfRule type="cellIs" dxfId="383" priority="381" operator="equal">
      <formula>"N"</formula>
    </cfRule>
    <cfRule type="cellIs" dxfId="382" priority="382" operator="equal">
      <formula>"Y"</formula>
    </cfRule>
  </conditionalFormatting>
  <conditionalFormatting sqref="R18">
    <cfRule type="cellIs" dxfId="381" priority="385" operator="equal">
      <formula>"N"</formula>
    </cfRule>
    <cfRule type="cellIs" dxfId="380" priority="386" operator="equal">
      <formula>"Y"</formula>
    </cfRule>
  </conditionalFormatting>
  <conditionalFormatting sqref="K28:K29">
    <cfRule type="expression" dxfId="379" priority="445">
      <formula>#REF!="y"</formula>
    </cfRule>
    <cfRule type="expression" dxfId="378" priority="446">
      <formula>#REF!="Spring 2016"</formula>
    </cfRule>
    <cfRule type="expression" dxfId="377" priority="447">
      <formula>#REF!="Spring 2015"</formula>
    </cfRule>
    <cfRule type="expression" dxfId="376" priority="448">
      <formula>#REF!="Fall 2016"</formula>
    </cfRule>
    <cfRule type="expression" dxfId="375" priority="449">
      <formula>#REF!="Spring 2014"</formula>
    </cfRule>
    <cfRule type="expression" dxfId="374" priority="450">
      <formula>#REF!="Fall 2015"</formula>
    </cfRule>
    <cfRule type="expression" dxfId="373" priority="451">
      <formula>#REF!="Fall 2014"</formula>
    </cfRule>
    <cfRule type="expression" dxfId="372" priority="452">
      <formula>#REF!="Fall 2013"</formula>
    </cfRule>
  </conditionalFormatting>
  <conditionalFormatting sqref="C33">
    <cfRule type="expression" dxfId="371" priority="453">
      <formula>#REF!="y"</formula>
    </cfRule>
    <cfRule type="expression" dxfId="370" priority="454">
      <formula>#REF!="Spring 2016"</formula>
    </cfRule>
    <cfRule type="expression" dxfId="369" priority="455">
      <formula>#REF!="Spring 2015"</formula>
    </cfRule>
    <cfRule type="expression" dxfId="368" priority="456">
      <formula>#REF!="Fall 2016"</formula>
    </cfRule>
    <cfRule type="expression" dxfId="367" priority="457">
      <formula>#REF!="Spring 2014"</formula>
    </cfRule>
    <cfRule type="expression" dxfId="366" priority="458">
      <formula>#REF!="Fall 2015"</formula>
    </cfRule>
    <cfRule type="expression" dxfId="365" priority="459">
      <formula>#REF!="Fall 2014"</formula>
    </cfRule>
    <cfRule type="expression" dxfId="364" priority="460">
      <formula>#REF!="Fall 2013"</formula>
    </cfRule>
  </conditionalFormatting>
  <conditionalFormatting sqref="AB3">
    <cfRule type="cellIs" dxfId="363" priority="389" operator="equal">
      <formula>"N"</formula>
    </cfRule>
    <cfRule type="cellIs" dxfId="362" priority="390" operator="equal">
      <formula>"Y"</formula>
    </cfRule>
  </conditionalFormatting>
  <conditionalFormatting sqref="R32">
    <cfRule type="cellIs" dxfId="361" priority="383" operator="equal">
      <formula>"N"</formula>
    </cfRule>
    <cfRule type="cellIs" dxfId="360" priority="384" operator="equal">
      <formula>"Y"</formula>
    </cfRule>
  </conditionalFormatting>
  <conditionalFormatting sqref="H46">
    <cfRule type="cellIs" dxfId="359" priority="379" operator="equal">
      <formula>"N"</formula>
    </cfRule>
    <cfRule type="cellIs" dxfId="358" priority="380" operator="equal">
      <formula>"Y"</formula>
    </cfRule>
  </conditionalFormatting>
  <conditionalFormatting sqref="R46">
    <cfRule type="cellIs" dxfId="357" priority="377" operator="equal">
      <formula>"N"</formula>
    </cfRule>
    <cfRule type="cellIs" dxfId="356" priority="378" operator="equal">
      <formula>"Y"</formula>
    </cfRule>
  </conditionalFormatting>
  <conditionalFormatting sqref="AB46">
    <cfRule type="cellIs" dxfId="355" priority="375" operator="equal">
      <formula>"N"</formula>
    </cfRule>
    <cfRule type="cellIs" dxfId="354" priority="376" operator="equal">
      <formula>"Y"</formula>
    </cfRule>
  </conditionalFormatting>
  <conditionalFormatting sqref="AB32">
    <cfRule type="cellIs" dxfId="353" priority="373" operator="equal">
      <formula>"N"</formula>
    </cfRule>
    <cfRule type="cellIs" dxfId="352" priority="374" operator="equal">
      <formula>"Y"</formula>
    </cfRule>
  </conditionalFormatting>
  <conditionalFormatting sqref="AB18">
    <cfRule type="cellIs" dxfId="351" priority="371" operator="equal">
      <formula>"N"</formula>
    </cfRule>
    <cfRule type="cellIs" dxfId="350" priority="372" operator="equal">
      <formula>"Y"</formula>
    </cfRule>
  </conditionalFormatting>
  <conditionalFormatting sqref="L73:L103">
    <cfRule type="expression" dxfId="349" priority="363">
      <formula>$H73="y"</formula>
    </cfRule>
    <cfRule type="expression" dxfId="348" priority="364">
      <formula>$F73="Spring 2016"</formula>
    </cfRule>
    <cfRule type="expression" dxfId="347" priority="365">
      <formula>$F73="Spring 2015"</formula>
    </cfRule>
    <cfRule type="expression" dxfId="346" priority="366">
      <formula>$F73="Fall 2016"</formula>
    </cfRule>
    <cfRule type="expression" dxfId="345" priority="367">
      <formula>$F73="Spring 2014"</formula>
    </cfRule>
    <cfRule type="expression" dxfId="344" priority="368">
      <formula>$F73="Fall 2015"</formula>
    </cfRule>
    <cfRule type="expression" dxfId="343" priority="369">
      <formula>$F73="Fall 2014"</formula>
    </cfRule>
    <cfRule type="expression" dxfId="342" priority="370">
      <formula>$F73="Fall 2013"</formula>
    </cfRule>
  </conditionalFormatting>
  <conditionalFormatting sqref="L72">
    <cfRule type="expression" dxfId="341" priority="355">
      <formula>$H72="y"</formula>
    </cfRule>
    <cfRule type="expression" dxfId="340" priority="356">
      <formula>$F72="Spring 2016"</formula>
    </cfRule>
    <cfRule type="expression" dxfId="339" priority="357">
      <formula>$F72="Spring 2015"</formula>
    </cfRule>
    <cfRule type="expression" dxfId="338" priority="358">
      <formula>$F72="Fall 2016"</formula>
    </cfRule>
    <cfRule type="expression" dxfId="337" priority="359">
      <formula>$F72="Spring 2014"</formula>
    </cfRule>
    <cfRule type="expression" dxfId="336" priority="360">
      <formula>$F72="Fall 2015"</formula>
    </cfRule>
    <cfRule type="expression" dxfId="335" priority="361">
      <formula>$F72="Fall 2014"</formula>
    </cfRule>
    <cfRule type="expression" dxfId="334" priority="362">
      <formula>$F72="Fall 2013"</formula>
    </cfRule>
  </conditionalFormatting>
  <conditionalFormatting sqref="R62:R65">
    <cfRule type="cellIs" dxfId="333" priority="273" operator="equal">
      <formula>"N"</formula>
    </cfRule>
    <cfRule type="cellIs" dxfId="332" priority="274" operator="equal">
      <formula>"Y"</formula>
    </cfRule>
  </conditionalFormatting>
  <conditionalFormatting sqref="S68:S70">
    <cfRule type="cellIs" dxfId="331" priority="269" operator="equal">
      <formula>"N"</formula>
    </cfRule>
    <cfRule type="cellIs" dxfId="330" priority="270" operator="equal">
      <formula>"Y"</formula>
    </cfRule>
  </conditionalFormatting>
  <conditionalFormatting sqref="AB60">
    <cfRule type="cellIs" dxfId="329" priority="261" operator="equal">
      <formula>"N"</formula>
    </cfRule>
    <cfRule type="cellIs" dxfId="328" priority="262" operator="equal">
      <formula>"Y"</formula>
    </cfRule>
  </conditionalFormatting>
  <conditionalFormatting sqref="AC68:AC70">
    <cfRule type="cellIs" dxfId="327" priority="267" operator="equal">
      <formula>"N"</formula>
    </cfRule>
    <cfRule type="cellIs" dxfId="326" priority="268" operator="equal">
      <formula>"Y"</formula>
    </cfRule>
  </conditionalFormatting>
  <conditionalFormatting sqref="C66:C67">
    <cfRule type="expression" dxfId="325" priority="275">
      <formula>#REF!="y"</formula>
    </cfRule>
    <cfRule type="expression" dxfId="324" priority="276">
      <formula>#REF!="Spring 2016"</formula>
    </cfRule>
    <cfRule type="expression" dxfId="323" priority="277">
      <formula>#REF!="Spring 2015"</formula>
    </cfRule>
    <cfRule type="expression" dxfId="322" priority="278">
      <formula>#REF!="Fall 2016"</formula>
    </cfRule>
    <cfRule type="expression" dxfId="321" priority="279">
      <formula>#REF!="Spring 2014"</formula>
    </cfRule>
    <cfRule type="expression" dxfId="320" priority="280">
      <formula>#REF!="Fall 2015"</formula>
    </cfRule>
    <cfRule type="expression" dxfId="319" priority="281">
      <formula>#REF!="Fall 2014"</formula>
    </cfRule>
    <cfRule type="expression" dxfId="318" priority="282">
      <formula>#REF!="Fall 2013"</formula>
    </cfRule>
  </conditionalFormatting>
  <conditionalFormatting sqref="H60">
    <cfRule type="cellIs" dxfId="317" priority="265" operator="equal">
      <formula>"N"</formula>
    </cfRule>
    <cfRule type="cellIs" dxfId="316" priority="266" operator="equal">
      <formula>"Y"</formula>
    </cfRule>
  </conditionalFormatting>
  <conditionalFormatting sqref="R60">
    <cfRule type="cellIs" dxfId="315" priority="263" operator="equal">
      <formula>"N"</formula>
    </cfRule>
    <cfRule type="cellIs" dxfId="314" priority="264" operator="equal">
      <formula>"Y"</formula>
    </cfRule>
  </conditionalFormatting>
  <conditionalFormatting sqref="AM54:AM56">
    <cfRule type="cellIs" dxfId="313" priority="211" operator="equal">
      <formula>"N"</formula>
    </cfRule>
    <cfRule type="cellIs" dxfId="312" priority="212" operator="equal">
      <formula>"Y"</formula>
    </cfRule>
  </conditionalFormatting>
  <conditionalFormatting sqref="AL46">
    <cfRule type="cellIs" dxfId="311" priority="209" operator="equal">
      <formula>"N"</formula>
    </cfRule>
    <cfRule type="cellIs" dxfId="310" priority="210" operator="equal">
      <formula>"Y"</formula>
    </cfRule>
  </conditionalFormatting>
  <conditionalFormatting sqref="AM40:AM42">
    <cfRule type="cellIs" dxfId="309" priority="175" operator="equal">
      <formula>"N"</formula>
    </cfRule>
    <cfRule type="cellIs" dxfId="308" priority="176" operator="equal">
      <formula>"Y"</formula>
    </cfRule>
  </conditionalFormatting>
  <conditionalFormatting sqref="AL32">
    <cfRule type="cellIs" dxfId="307" priority="173" operator="equal">
      <formula>"N"</formula>
    </cfRule>
    <cfRule type="cellIs" dxfId="306" priority="174" operator="equal">
      <formula>"Y"</formula>
    </cfRule>
  </conditionalFormatting>
  <conditionalFormatting sqref="AM26:AM28">
    <cfRule type="cellIs" dxfId="305" priority="139" operator="equal">
      <formula>"N"</formula>
    </cfRule>
    <cfRule type="cellIs" dxfId="304" priority="140" operator="equal">
      <formula>"Y"</formula>
    </cfRule>
  </conditionalFormatting>
  <conditionalFormatting sqref="AL18">
    <cfRule type="cellIs" dxfId="303" priority="137" operator="equal">
      <formula>"N"</formula>
    </cfRule>
    <cfRule type="cellIs" dxfId="302" priority="138" operator="equal">
      <formula>"Y"</formula>
    </cfRule>
  </conditionalFormatting>
  <conditionalFormatting sqref="AM68:AM70">
    <cfRule type="cellIs" dxfId="301" priority="103" operator="equal">
      <formula>"N"</formula>
    </cfRule>
    <cfRule type="cellIs" dxfId="300" priority="104" operator="equal">
      <formula>"Y"</formula>
    </cfRule>
  </conditionalFormatting>
  <conditionalFormatting sqref="AL60">
    <cfRule type="cellIs" dxfId="299" priority="101" operator="equal">
      <formula>"N"</formula>
    </cfRule>
    <cfRule type="cellIs" dxfId="298" priority="102" operator="equal">
      <formula>"Y"</formula>
    </cfRule>
  </conditionalFormatting>
  <conditionalFormatting sqref="H58">
    <cfRule type="cellIs" dxfId="297" priority="67" operator="equal">
      <formula>"N"</formula>
    </cfRule>
    <cfRule type="cellIs" dxfId="296" priority="68" operator="equal">
      <formula>"Y"</formula>
    </cfRule>
  </conditionalFormatting>
  <conditionalFormatting sqref="I54:I56">
    <cfRule type="cellIs" dxfId="295" priority="63" operator="equal">
      <formula>"N"</formula>
    </cfRule>
    <cfRule type="cellIs" dxfId="294" priority="64" operator="equal">
      <formula>"Y"</formula>
    </cfRule>
  </conditionalFormatting>
  <conditionalFormatting sqref="I68:I70">
    <cfRule type="cellIs" dxfId="293" priority="61" operator="equal">
      <formula>"N"</formula>
    </cfRule>
    <cfRule type="cellIs" dxfId="292" priority="62" operator="equal">
      <formula>"Y"</formula>
    </cfRule>
  </conditionalFormatting>
  <conditionalFormatting sqref="AM11:AM13">
    <cfRule type="cellIs" dxfId="291" priority="19" operator="equal">
      <formula>"N"</formula>
    </cfRule>
    <cfRule type="cellIs" dxfId="290" priority="20" operator="equal">
      <formula>"Y"</formula>
    </cfRule>
  </conditionalFormatting>
  <conditionalFormatting sqref="AL3">
    <cfRule type="cellIs" dxfId="289" priority="17" operator="equal">
      <formula>"N"</formula>
    </cfRule>
    <cfRule type="cellIs" dxfId="288" priority="18" operator="equal">
      <formula>"Y"</formula>
    </cfRule>
  </conditionalFormatting>
  <conditionalFormatting sqref="K30">
    <cfRule type="expression" dxfId="287" priority="582">
      <formula>$I35="y"</formula>
    </cfRule>
    <cfRule type="expression" dxfId="286" priority="583">
      <formula>$G35="Spring 2016"</formula>
    </cfRule>
    <cfRule type="expression" dxfId="285" priority="584">
      <formula>$G35="Spring 2015"</formula>
    </cfRule>
    <cfRule type="expression" dxfId="284" priority="585">
      <formula>$G35="Fall 2016"</formula>
    </cfRule>
    <cfRule type="expression" dxfId="283" priority="586">
      <formula>$G35="Spring 2014"</formula>
    </cfRule>
    <cfRule type="expression" dxfId="282" priority="587">
      <formula>$G35="Fall 2015"</formula>
    </cfRule>
    <cfRule type="expression" dxfId="281" priority="588">
      <formula>$G35="Fall 2014"</formula>
    </cfRule>
    <cfRule type="expression" dxfId="280" priority="589">
      <formula>$G35="Fall 2013"</formula>
    </cfRule>
  </conditionalFormatting>
  <conditionalFormatting sqref="K27">
    <cfRule type="expression" dxfId="279" priority="590">
      <formula>$I31="y"</formula>
    </cfRule>
    <cfRule type="expression" dxfId="278" priority="591">
      <formula>$G31="Spring 2016"</formula>
    </cfRule>
    <cfRule type="expression" dxfId="277" priority="592">
      <formula>$G31="Spring 2015"</formula>
    </cfRule>
    <cfRule type="expression" dxfId="276" priority="593">
      <formula>$G31="Fall 2016"</formula>
    </cfRule>
    <cfRule type="expression" dxfId="275" priority="594">
      <formula>$G31="Spring 2014"</formula>
    </cfRule>
    <cfRule type="expression" dxfId="274" priority="595">
      <formula>$G31="Fall 2015"</formula>
    </cfRule>
    <cfRule type="expression" dxfId="273" priority="596">
      <formula>$G31="Fall 2014"</formula>
    </cfRule>
    <cfRule type="expression" dxfId="272" priority="597">
      <formula>$G31="Fall 2013"</formula>
    </cfRule>
  </conditionalFormatting>
  <conditionalFormatting sqref="K34:K35">
    <cfRule type="expression" dxfId="271" priority="598">
      <formula>$J40="y"</formula>
    </cfRule>
    <cfRule type="expression" dxfId="270" priority="599">
      <formula>$G40="Spring 2016"</formula>
    </cfRule>
    <cfRule type="expression" dxfId="269" priority="600">
      <formula>$G40="Spring 2015"</formula>
    </cfRule>
    <cfRule type="expression" dxfId="268" priority="601">
      <formula>$G40="Fall 2016"</formula>
    </cfRule>
    <cfRule type="expression" dxfId="267" priority="602">
      <formula>$G40="Spring 2014"</formula>
    </cfRule>
    <cfRule type="expression" dxfId="266" priority="603">
      <formula>$G40="Fall 2015"</formula>
    </cfRule>
    <cfRule type="expression" dxfId="265" priority="604">
      <formula>$G40="Fall 2014"</formula>
    </cfRule>
    <cfRule type="expression" dxfId="264" priority="605">
      <formula>$G40="Fall 2013"</formula>
    </cfRule>
  </conditionalFormatting>
  <conditionalFormatting sqref="K36">
    <cfRule type="expression" dxfId="263" priority="606">
      <formula>$J43="y"</formula>
    </cfRule>
    <cfRule type="expression" dxfId="262" priority="607">
      <formula>$G43="Spring 2016"</formula>
    </cfRule>
    <cfRule type="expression" dxfId="261" priority="608">
      <formula>$G43="Spring 2015"</formula>
    </cfRule>
    <cfRule type="expression" dxfId="260" priority="609">
      <formula>$G43="Fall 2016"</formula>
    </cfRule>
    <cfRule type="expression" dxfId="259" priority="610">
      <formula>$G43="Spring 2014"</formula>
    </cfRule>
    <cfRule type="expression" dxfId="258" priority="611">
      <formula>$G43="Fall 2015"</formula>
    </cfRule>
    <cfRule type="expression" dxfId="257" priority="612">
      <formula>$G43="Fall 2014"</formula>
    </cfRule>
    <cfRule type="expression" dxfId="256" priority="613">
      <formula>$G43="Fall 2013"</formula>
    </cfRule>
  </conditionalFormatting>
  <conditionalFormatting sqref="C36 W47 C48 C50 W61 C64 W63:W65 AG47 AG49:AG51 AG35:AG37 AG22:AG23 AG61 AG63:AG65 W37 AG7:AG8">
    <cfRule type="expression" dxfId="255" priority="614">
      <formula>$I7="y"</formula>
    </cfRule>
    <cfRule type="expression" dxfId="254" priority="615">
      <formula>$G7="Spring 2016"</formula>
    </cfRule>
    <cfRule type="expression" dxfId="253" priority="616">
      <formula>$G7="Spring 2015"</formula>
    </cfRule>
    <cfRule type="expression" dxfId="252" priority="617">
      <formula>$G7="Fall 2016"</formula>
    </cfRule>
    <cfRule type="expression" dxfId="251" priority="618">
      <formula>$G7="Spring 2014"</formula>
    </cfRule>
    <cfRule type="expression" dxfId="250" priority="619">
      <formula>$G7="Fall 2015"</formula>
    </cfRule>
    <cfRule type="expression" dxfId="249" priority="620">
      <formula>$G7="Fall 2014"</formula>
    </cfRule>
    <cfRule type="expression" dxfId="248" priority="621">
      <formula>$G7="Fall 2013"</formula>
    </cfRule>
  </conditionalFormatting>
  <conditionalFormatting sqref="W22">
    <cfRule type="expression" dxfId="247" priority="630">
      <formula>$I38="y"</formula>
    </cfRule>
    <cfRule type="expression" dxfId="246" priority="631">
      <formula>$G38="Spring 2016"</formula>
    </cfRule>
    <cfRule type="expression" dxfId="245" priority="632">
      <formula>$G38="Spring 2015"</formula>
    </cfRule>
    <cfRule type="expression" dxfId="244" priority="633">
      <formula>$G38="Fall 2016"</formula>
    </cfRule>
    <cfRule type="expression" dxfId="243" priority="634">
      <formula>$G38="Spring 2014"</formula>
    </cfRule>
    <cfRule type="expression" dxfId="242" priority="635">
      <formula>$G38="Fall 2015"</formula>
    </cfRule>
    <cfRule type="expression" dxfId="241" priority="636">
      <formula>$G38="Fall 2014"</formula>
    </cfRule>
    <cfRule type="expression" dxfId="240" priority="637">
      <formula>$G38="Fall 2013"</formula>
    </cfRule>
  </conditionalFormatting>
  <conditionalFormatting sqref="W48">
    <cfRule type="expression" dxfId="239" priority="654">
      <formula>$I49="y"</formula>
    </cfRule>
    <cfRule type="expression" dxfId="238" priority="655">
      <formula>$G49="Spring 2016"</formula>
    </cfRule>
    <cfRule type="expression" dxfId="237" priority="656">
      <formula>$G49="Spring 2015"</formula>
    </cfRule>
    <cfRule type="expression" dxfId="236" priority="657">
      <formula>$G49="Fall 2016"</formula>
    </cfRule>
    <cfRule type="expression" dxfId="235" priority="658">
      <formula>$G49="Spring 2014"</formula>
    </cfRule>
    <cfRule type="expression" dxfId="234" priority="659">
      <formula>$G49="Fall 2015"</formula>
    </cfRule>
    <cfRule type="expression" dxfId="233" priority="660">
      <formula>$G49="Fall 2014"</formula>
    </cfRule>
    <cfRule type="expression" dxfId="232" priority="661">
      <formula>$G49="Fall 2013"</formula>
    </cfRule>
  </conditionalFormatting>
  <conditionalFormatting sqref="W49">
    <cfRule type="expression" dxfId="231" priority="662">
      <formula>$I51="y"</formula>
    </cfRule>
    <cfRule type="expression" dxfId="230" priority="663">
      <formula>$G51="Spring 2016"</formula>
    </cfRule>
    <cfRule type="expression" dxfId="229" priority="664">
      <formula>$G51="Spring 2015"</formula>
    </cfRule>
    <cfRule type="expression" dxfId="228" priority="665">
      <formula>$G51="Fall 2016"</formula>
    </cfRule>
    <cfRule type="expression" dxfId="227" priority="666">
      <formula>$G51="Spring 2014"</formula>
    </cfRule>
    <cfRule type="expression" dxfId="226" priority="667">
      <formula>$G51="Fall 2015"</formula>
    </cfRule>
    <cfRule type="expression" dxfId="225" priority="668">
      <formula>$G51="Fall 2014"</formula>
    </cfRule>
    <cfRule type="expression" dxfId="224" priority="669">
      <formula>$G51="Fall 2013"</formula>
    </cfRule>
  </conditionalFormatting>
  <conditionalFormatting sqref="W52">
    <cfRule type="expression" dxfId="223" priority="678">
      <formula>$I62="y"</formula>
    </cfRule>
    <cfRule type="expression" dxfId="222" priority="679">
      <formula>$G62="Spring 2016"</formula>
    </cfRule>
    <cfRule type="expression" dxfId="221" priority="680">
      <formula>$G62="Spring 2015"</formula>
    </cfRule>
    <cfRule type="expression" dxfId="220" priority="681">
      <formula>$G62="Fall 2016"</formula>
    </cfRule>
    <cfRule type="expression" dxfId="219" priority="682">
      <formula>$G62="Spring 2014"</formula>
    </cfRule>
    <cfRule type="expression" dxfId="218" priority="683">
      <formula>$G62="Fall 2015"</formula>
    </cfRule>
    <cfRule type="expression" dxfId="217" priority="684">
      <formula>$G62="Fall 2014"</formula>
    </cfRule>
    <cfRule type="expression" dxfId="216" priority="685">
      <formula>$G62="Fall 2013"</formula>
    </cfRule>
  </conditionalFormatting>
  <conditionalFormatting sqref="W35">
    <cfRule type="expression" dxfId="215" priority="822">
      <formula>$I50="y"</formula>
    </cfRule>
    <cfRule type="expression" dxfId="214" priority="823">
      <formula>$G50="Spring 2016"</formula>
    </cfRule>
    <cfRule type="expression" dxfId="213" priority="824">
      <formula>$G50="Spring 2015"</formula>
    </cfRule>
    <cfRule type="expression" dxfId="212" priority="825">
      <formula>$G50="Fall 2016"</formula>
    </cfRule>
    <cfRule type="expression" dxfId="211" priority="826">
      <formula>$G50="Spring 2014"</formula>
    </cfRule>
    <cfRule type="expression" dxfId="210" priority="827">
      <formula>$G50="Fall 2015"</formula>
    </cfRule>
    <cfRule type="expression" dxfId="209" priority="828">
      <formula>$G50="Fall 2014"</formula>
    </cfRule>
    <cfRule type="expression" dxfId="208" priority="829">
      <formula>$G50="Fall 2013"</formula>
    </cfRule>
  </conditionalFormatting>
  <conditionalFormatting sqref="C39">
    <cfRule type="expression" dxfId="207" priority="830">
      <formula>$I37="y"</formula>
    </cfRule>
    <cfRule type="expression" dxfId="206" priority="831">
      <formula>$G37="Spring 2016"</formula>
    </cfRule>
    <cfRule type="expression" dxfId="205" priority="832">
      <formula>$G37="Spring 2015"</formula>
    </cfRule>
    <cfRule type="expression" dxfId="204" priority="833">
      <formula>$G37="Fall 2016"</formula>
    </cfRule>
    <cfRule type="expression" dxfId="203" priority="834">
      <formula>$G37="Spring 2014"</formula>
    </cfRule>
    <cfRule type="expression" dxfId="202" priority="835">
      <formula>$G37="Fall 2015"</formula>
    </cfRule>
    <cfRule type="expression" dxfId="201" priority="836">
      <formula>$G37="Fall 2014"</formula>
    </cfRule>
    <cfRule type="expression" dxfId="200" priority="837">
      <formula>$G37="Fall 2013"</formula>
    </cfRule>
  </conditionalFormatting>
  <pageMargins left="0.7" right="0.7" top="0.75" bottom="0.75" header="0.3" footer="0.3"/>
  <pageSetup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C19" sqref="C19"/>
    </sheetView>
  </sheetViews>
  <sheetFormatPr defaultRowHeight="15"/>
  <cols>
    <col min="1" max="38" width="9.140625" style="1"/>
    <col min="39" max="39" width="0" style="1" hidden="1" customWidth="1"/>
    <col min="40" max="16384" width="9.1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Setup</vt:lpstr>
      <vt:lpstr>Course List</vt:lpstr>
      <vt:lpstr>Semester View</vt:lpstr>
      <vt:lpstr>Notes</vt:lpstr>
      <vt:lpstr>FreshmanCredits</vt:lpstr>
      <vt:lpstr>FreshmanMin</vt:lpstr>
      <vt:lpstr>JuniorCredits</vt:lpstr>
      <vt:lpstr>JuniorMin</vt:lpstr>
      <vt:lpstr>SeniorCredits</vt:lpstr>
      <vt:lpstr>SophomoreCredits</vt:lpstr>
      <vt:lpstr>SophomoreMin</vt:lpstr>
      <vt:lpstr>StartingCredits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Bolles</dc:creator>
  <cp:lastModifiedBy>Nicholas Bolles</cp:lastModifiedBy>
  <dcterms:created xsi:type="dcterms:W3CDTF">2014-04-29T00:38:34Z</dcterms:created>
  <dcterms:modified xsi:type="dcterms:W3CDTF">2015-10-10T19:11:48Z</dcterms:modified>
</cp:coreProperties>
</file>